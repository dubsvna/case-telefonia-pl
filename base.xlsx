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ase Total" sheetId="1" state="visible" r:id="rId3"/>
    <sheet name="CLIENTES" sheetId="2" state="visible" r:id="rId4"/>
    <sheet name="FATURAMENTO " sheetId="3" state="visible" r:id="rId5"/>
    <sheet name="CHURN" sheetId="4" state="visible" r:id="rId6"/>
  </sheets>
  <definedNames>
    <definedName function="false" hidden="true" localSheetId="0" name="_xlnm._FilterDatabase" vbProcedure="false">'Base Total'!$B$2:$J$302</definedName>
    <definedName function="false" hidden="false" name="SegmentaçãodeDados_Estado" vbProcedure="false">#N/A</definedName>
    <definedName function="false" hidden="false" name="SegmentaçãodeDados_Segmento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72980-714C-4A13-BD89-5B8493F333A2}" keepAlive="1" interval="0" name="Consulta - CHURN" description="Conexão com a consulta 'CHURN' na pasta de trabalho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CHURN;Extended Properties=&quot;&quot;" command="SELECT * FROM [CHURN]"/>
    <olapPr/>
  </connection>
  <connection id="2" xr16:uid="{81A57328-5319-47B2-9CAE-0CAC10185CF9}" keepAlive="1" interval="0" name="Consulta - CLIENTES" description="Conexão com a consulta 'CLIENTES' na pasta de trabalh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CLIENTES;Extended Properties=&quot;&quot;" command="SELECT * FROM [CLIENTES]"/>
    <olapPr/>
  </connection>
  <connection id="3" xr16:uid="{35E3CEE0-6477-48AA-A0C8-170DC70A976D}" keepAlive="1" interval="0" name="Consulta - FATURAMENTO" description="Conexão com a consulta 'FATURAMENTO' na pasta de trabalho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FATURAMENTO;Extended Properties=&quot;&quot;" command="SELECT * FROM [FATURAMENTO]"/>
    <olapPr/>
  </connection>
</connections>
</file>

<file path=xl/sharedStrings.xml><?xml version="1.0" encoding="utf-8"?>
<sst xmlns="http://schemas.openxmlformats.org/spreadsheetml/2006/main" count="2272" uniqueCount="87">
  <si>
    <t xml:space="preserve">Cliente</t>
  </si>
  <si>
    <t xml:space="preserve">Segmento</t>
  </si>
  <si>
    <t xml:space="preserve">Estado</t>
  </si>
  <si>
    <t xml:space="preserve">Mês_Ano</t>
  </si>
  <si>
    <t xml:space="preserve">R$ Receita</t>
  </si>
  <si>
    <t xml:space="preserve">R$ Custo</t>
  </si>
  <si>
    <t xml:space="preserve">Status</t>
  </si>
  <si>
    <t xml:space="preserve">Margem Bruta Mês</t>
  </si>
  <si>
    <t xml:space="preserve">Clientes Margem Bruta</t>
  </si>
  <si>
    <t xml:space="preserve">A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</si>
  <si>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</si>
  <si>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</si>
  <si>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</si>
  <si>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</si>
  <si>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</si>
  <si>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</si>
  <si>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</si>
  <si>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</si>
  <si>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</si>
  <si>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</si>
  <si>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</si>
  <si>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</si>
  <si>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</si>
  <si>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</si>
  <si>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</si>
  <si>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</si>
  <si>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</si>
  <si>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</si>
  <si>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</si>
  <si>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</si>
  <si>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</si>
  <si>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</si>
  <si>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</si>
  <si>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</si>
  <si>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</si>
  <si>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</si>
  <si>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</si>
  <si>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X</t>
  </si>
  <si>
    <t xml:space="preserve">W</t>
  </si>
  <si>
    <t xml:space="preserve">Y</t>
  </si>
  <si>
    <t xml:space="preserve">Z</t>
  </si>
  <si>
    <t xml:space="preserve">AA</t>
  </si>
  <si>
    <t xml:space="preserve">AB</t>
  </si>
  <si>
    <t xml:space="preserve">AC</t>
  </si>
  <si>
    <t xml:space="preserve">AD</t>
  </si>
  <si>
    <t xml:space="preserve">AE</t>
  </si>
  <si>
    <t xml:space="preserve">AF</t>
  </si>
  <si>
    <t xml:space="preserve">AG</t>
  </si>
  <si>
    <t xml:space="preserve">AH</t>
  </si>
  <si>
    <t xml:space="preserve">AI</t>
  </si>
  <si>
    <t xml:space="preserve">AJ</t>
  </si>
  <si>
    <t xml:space="preserve">AK</t>
  </si>
  <si>
    <t xml:space="preserve">AL</t>
  </si>
  <si>
    <t xml:space="preserve">AM</t>
  </si>
  <si>
    <t xml:space="preserve">AN</t>
  </si>
  <si>
    <t xml:space="preserve">AO</t>
  </si>
  <si>
    <t xml:space="preserve">AP</t>
  </si>
  <si>
    <t xml:space="preserve">AQ</t>
  </si>
  <si>
    <t xml:space="preserve">AR</t>
  </si>
  <si>
    <t xml:space="preserve">AS</t>
  </si>
  <si>
    <t xml:space="preserve">AT</t>
  </si>
  <si>
    <t xml:space="preserve">AU</t>
  </si>
  <si>
    <t xml:space="preserve">AV</t>
  </si>
  <si>
    <t xml:space="preserve">AX</t>
  </si>
  <si>
    <t xml:space="preserve">AW</t>
  </si>
  <si>
    <t xml:space="preserve">Cliente_id</t>
  </si>
  <si>
    <t xml:space="preserve">Média</t>
  </si>
  <si>
    <t xml:space="preserve">Rio de Janeiro</t>
  </si>
  <si>
    <t xml:space="preserve">Distrito Federal</t>
  </si>
  <si>
    <t xml:space="preserve">Grande</t>
  </si>
  <si>
    <t xml:space="preserve">São Paulo</t>
  </si>
  <si>
    <t xml:space="preserve">Pequena</t>
  </si>
  <si>
    <t xml:space="preserve">Ceará</t>
  </si>
  <si>
    <t xml:space="preserve">Minas Gerais</t>
  </si>
  <si>
    <t xml:space="preserve">Pernambuco</t>
  </si>
  <si>
    <t xml:space="preserve">Bahia</t>
  </si>
  <si>
    <t xml:space="preserve">Santa Catarina</t>
  </si>
  <si>
    <t xml:space="preserve">Rio Grande do Sul</t>
  </si>
  <si>
    <t xml:space="preserve">Paraná</t>
  </si>
  <si>
    <t xml:space="preserve">Concatenar</t>
  </si>
  <si>
    <t xml:space="preserve">cliente_id</t>
  </si>
  <si>
    <t xml:space="preserve">mes_ano</t>
  </si>
  <si>
    <t xml:space="preserve">mês_ano</t>
  </si>
  <si>
    <t xml:space="preserve">status</t>
  </si>
  <si>
    <t xml:space="preserve">receita</t>
  </si>
  <si>
    <t xml:space="preserve">Cancelado</t>
  </si>
  <si>
    <t xml:space="preserve">Ativo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</si>
</sst>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/yyyy"/>
    <numFmt numFmtId="166" formatCode="_-&quot;R$ &quot;* #,##0.00_-;&quot;-R$ &quot;* #,##0.00_-;_-&quot;R$ &quot;* \-??_-;_-@_-"/>
    <numFmt numFmtId="167" formatCode="0%"/>
    <numFmt numFmtId="168" formatCode="_-* #,##0.00_-;\-* #,##0.00_-;_-* \-??_-;_-@_-"/>
    <numFmt numFmtId="169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-0.5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theme="7"/>
      </right>
      <top style="thin">
        <color theme="7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4" fillId="0" borderId="2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Valor da tabela dinâmica" xfId="22"/>
    <cellStyle name="Categoria da tabela dinâmica" xfId="23"/>
    <cellStyle name="Título da tabela dinâmica" xfId="24"/>
    <cellStyle name="Resultado da tabela dinâmica" xfId="25"/>
  </cellStyles>
  <dxfs count="4">
    <dxf>
      <fill>
        <patternFill patternType="solid">
          <fgColor rgb="FF4031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onnections" Target="connections.xml"/><Relationship Id="rId9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13" displayName="Tabela13" ref="B2:E302" headerRowCount="1" totalsRowCount="0" totalsRowShown="0">
  <autoFilter ref="B2:E302"/>
  <tableColumns count="4">
    <tableColumn id="1" name="cliente_id"/>
    <tableColumn id="2" name="mes_ano"/>
    <tableColumn id="3" name="R$ Receita"/>
    <tableColumn id="4" name="R$ Custo"/>
  </tableColumns>
</table>
</file>

<file path=xl/tables/table2.xml><?xml version="1.0" encoding="utf-8"?>
<table xmlns="http://schemas.openxmlformats.org/spreadsheetml/2006/main" id="2" name="Tabela3" displayName="Tabela3" ref="B2:E302" headerRowCount="1" totalsRowCount="0" totalsRowShown="0">
  <autoFilter ref="B2:E302"/>
  <tableColumns count="4">
    <tableColumn id="1" name="Cliente_id"/>
    <tableColumn id="2" name="mês_ano"/>
    <tableColumn id="3" name="status"/>
    <tableColumn id="4" name="receita"/>
  </tableColumns>
</table>
</file>

<file path=xl/tables/table3.xml><?xml version="1.0" encoding="utf-8"?>
<table xmlns="http://schemas.openxmlformats.org/spreadsheetml/2006/main" id="3" name="Tabela4" displayName="Tabela4" ref="A2:C52" headerRowCount="1" totalsRowCount="0" totalsRowShown="0">
  <autoFilter ref="A2:C52"/>
  <tableColumns count="3">
    <tableColumn id="1" name="Cliente_id"/>
    <tableColumn id="2" name="Segmento"/>
    <tableColumn id="3" name="Esta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.09"/>
    <col collapsed="false" customWidth="true" hidden="false" outlineLevel="0" max="2" min="2" style="1" width="6.54"/>
    <col collapsed="false" customWidth="true" hidden="false" outlineLevel="0" max="3" min="3" style="1" width="9.09"/>
    <col collapsed="false" customWidth="true" hidden="false" outlineLevel="0" max="4" min="4" style="1" width="12.45"/>
    <col collapsed="false" customWidth="false" hidden="false" outlineLevel="0" max="5" min="5" style="2" width="8.73"/>
    <col collapsed="false" customWidth="true" hidden="false" outlineLevel="0" max="7" min="6" style="1" width="12.63"/>
    <col collapsed="false" customWidth="true" hidden="false" outlineLevel="0" max="8" min="8" style="1" width="9.45"/>
    <col collapsed="false" customWidth="true" hidden="false" outlineLevel="0" max="9" min="9" style="1" width="17.09"/>
    <col collapsed="false" customWidth="true" hidden="false" outlineLevel="0" max="10" min="10" style="1" width="20.18"/>
    <col collapsed="false" customWidth="true" hidden="true" outlineLevel="0" max="11" min="11" style="0" width="10.45"/>
    <col collapsed="false" customWidth="true" hidden="false" outlineLevel="0" max="12" min="12" style="0" width="12.63"/>
    <col collapsed="false" customWidth="true" hidden="false" outlineLevel="0" max="13" min="13" style="0" width="11.73"/>
    <col collapsed="false" customWidth="true" hidden="false" outlineLevel="0" max="14" min="14" style="0" width="10.27"/>
    <col collapsed="false" customWidth="true" hidden="false" outlineLevel="0" max="15" min="15" style="0" width="7.36"/>
  </cols>
  <sheetData>
    <row r="1" customFormat="false" ht="4.5" hidden="false" customHeight="true" outlineLevel="0" collapsed="false"/>
    <row r="2" customFormat="false" ht="14.25" hidden="false" customHeight="false" outlineLevel="0" collapsed="false"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customFormat="false" ht="14.25" hidden="false" customHeight="false" outlineLevel="0" collapsed="false">
      <c r="B3" s="1" t="s">
        <v>9</v>
      </c>
      <c r="C3" s="1" t="str">
        <f aca="false">VLOOKUP(B3,Tabela4[],2,FALSE())</f>
        <v>Média</v>
      </c>
      <c r="D3" s="5" t="str">
        <f aca="false">VLOOKUP(B3,Tabela4[],3,FALSE())</f>
        <v>Rio de Janeiro</v>
      </c>
      <c r="E3" s="2" t="s">
        <v>10</v>
      </c>
      <c r="F3" s="6" t="n">
        <f aca="false">VLOOKUP($K3,'FATURAMENTO '!$A$2:$E$302,4,FALSE())</f>
        <v>21231</v>
      </c>
      <c r="G3" s="6" t="n">
        <f aca="false">VLOOKUP($K3,'FATURAMENTO '!$A$2:$E$302,5,FALSE())</f>
        <v>13598.65</v>
      </c>
      <c r="H3" s="1" t="str">
        <f aca="false">VLOOKUP($K3,CHURN!$A$2:$E$302,4,FALSE())</f>
        <v>Cancelado</v>
      </c>
      <c r="I3" s="7" t="n">
        <f aca="false">(F3-G3)/F3</f>
        <v>0.359490838867694</v>
      </c>
      <c r="J3" s="1" t="str">
        <f aca="false">IF(INDEX($I$3:$I$302,MATCH(B3,$B$3:$B$302,0))&gt;50%,"Alto valor",IF(INDEX($I$3:$I$302,MATCH(B3,$B$3:$B$302,0))&gt;=30%,"Médio valor","Baixo valor"))</f>
        <v>Médio valor</v>
      </c>
      <c r="K3" s="0" t="str">
        <f aca="false">CONCATENATE(B3,E3)</f>
        <v>A2024-12</v>
      </c>
      <c r="L3" s="1"/>
    </row>
    <row r="4" customFormat="false" ht="14.25" hidden="false" customHeight="false" outlineLevel="0" collapsed="false">
      <c r="B4" s="1" t="s">
        <v>9</v>
      </c>
      <c r="C4" s="1" t="str">
        <f aca="false">VLOOKUP(B4,Tabela4[],2,FALSE())</f>
        <v>Média</v>
      </c>
      <c r="D4" s="5" t="str">
        <f aca="false">VLOOKUP(B4,Tabela4[],3,FALSE())</f>
        <v>Rio de Janeiro</v>
      </c>
      <c r="E4" s="2" t="s">
        <v>11</v>
      </c>
      <c r="F4" s="6" t="n">
        <f aca="false">VLOOKUP($K4,'FATURAMENTO '!$A$2:$E$302,4,FALSE())</f>
        <v>35273</v>
      </c>
      <c r="G4" s="6" t="n">
        <f aca="false">VLOOKUP($K4,'FATURAMENTO '!$A$2:$E$302,5,FALSE())</f>
        <v>24414.45</v>
      </c>
      <c r="H4" s="1" t="str">
        <f aca="false">VLOOKUP($K4,CHURN!$A$2:$E$302,4,FALSE())</f>
        <v>Ativo</v>
      </c>
      <c r="I4" s="7" t="n">
        <f aca="false">(F4-G4)/F4</f>
        <v>0.307843109460494</v>
      </c>
      <c r="J4" s="1" t="str">
        <f aca="false">IF(INDEX($I$3:$I$302,MATCH(B4,$B$3:$B$302,0))&gt;50%,"Alto valor",IF(INDEX($I$3:$I$302,MATCH(B4,$B$3:$B$302,0))&gt;=30%,"Médio valor","Baixo valor"))</f>
        <v>Médio valor</v>
      </c>
      <c r="K4" s="0" t="str">
        <f aca="false">CONCATENATE(B4,E4)</f>
        <v>A2025-01</v>
      </c>
      <c r="L4" s="1"/>
    </row>
    <row r="5" customFormat="false" ht="14.25" hidden="false" customHeight="false" outlineLevel="0" collapsed="false">
      <c r="B5" s="1" t="s">
        <v>9</v>
      </c>
      <c r="C5" s="1" t="str">
        <f aca="false">VLOOKUP(B5,Tabela4[],2,FALSE())</f>
        <v>Média</v>
      </c>
      <c r="D5" s="5" t="str">
        <f aca="false">VLOOKUP(B5,Tabela4[],3,FALSE())</f>
        <v>Rio de Janeiro</v>
      </c>
      <c r="E5" s="2" t="s">
        <v>12</v>
      </c>
      <c r="F5" s="6" t="n">
        <f aca="false">VLOOKUP($K5,'FATURAMENTO '!$A$2:$E$302,4,FALSE())</f>
        <v>12897</v>
      </c>
      <c r="G5" s="6" t="n">
        <f aca="false">VLOOKUP($K5,'FATURAMENTO '!$A$2:$E$302,5,FALSE())</f>
        <v>7662.32</v>
      </c>
      <c r="H5" s="1" t="str">
        <f aca="false">VLOOKUP($K5,CHURN!$A$2:$E$302,4,FALSE())</f>
        <v>Ativo</v>
      </c>
      <c r="I5" s="7" t="n">
        <f aca="false">(F5-G5)/F5</f>
        <v>0.405883538807475</v>
      </c>
      <c r="J5" s="1" t="str">
        <f aca="false">IF(INDEX($I$3:$I$302,MATCH(B5,$B$3:$B$302,0))&gt;50%,"Alto valor",IF(INDEX($I$3:$I$302,MATCH(B5,$B$3:$B$302,0))&gt;=30%,"Médio valor","Baixo valor"))</f>
        <v>Médio valor</v>
      </c>
      <c r="K5" s="0" t="str">
        <f aca="false">CONCATENATE(B5,E5)</f>
        <v>A2025-02</v>
      </c>
      <c r="L5" s="1"/>
    </row>
    <row r="6" customFormat="false" ht="14.25" hidden="false" customHeight="false" outlineLevel="0" collapsed="false">
      <c r="B6" s="1" t="s">
        <v>9</v>
      </c>
      <c r="C6" s="1" t="str">
        <f aca="false">VLOOKUP(B6,Tabela4[],2,FALSE())</f>
        <v>Média</v>
      </c>
      <c r="D6" s="5" t="str">
        <f aca="false">VLOOKUP(B6,Tabela4[],3,FALSE())</f>
        <v>Rio de Janeiro</v>
      </c>
      <c r="E6" s="2" t="s">
        <v>13</v>
      </c>
      <c r="F6" s="6" t="n">
        <f aca="false">VLOOKUP($K6,'FATURAMENTO '!$A$2:$E$302,4,FALSE())</f>
        <v>29303</v>
      </c>
      <c r="G6" s="6" t="n">
        <f aca="false">VLOOKUP($K6,'FATURAMENTO '!$A$2:$E$302,5,FALSE())</f>
        <v>16188.04</v>
      </c>
      <c r="H6" s="1" t="str">
        <f aca="false">VLOOKUP($K6,CHURN!$A$2:$E$302,4,FALSE())</f>
        <v>Ativo</v>
      </c>
      <c r="I6" s="7" t="n">
        <f aca="false">(F6-G6)/F6</f>
        <v>0.44756373067604</v>
      </c>
      <c r="J6" s="1" t="str">
        <f aca="false">IF(INDEX($I$3:$I$302,MATCH(B6,$B$3:$B$302,0))&gt;50%,"Alto valor",IF(INDEX($I$3:$I$302,MATCH(B6,$B$3:$B$302,0))&gt;=30%,"Médio valor","Baixo valor"))</f>
        <v>Médio valor</v>
      </c>
      <c r="K6" s="0" t="str">
        <f aca="false">CONCATENATE(B6,E6)</f>
        <v>A2025-03</v>
      </c>
      <c r="L6" s="1"/>
    </row>
    <row r="7" customFormat="false" ht="14.25" hidden="false" customHeight="false" outlineLevel="0" collapsed="false">
      <c r="B7" s="1" t="s">
        <v>9</v>
      </c>
      <c r="C7" s="1" t="str">
        <f aca="false">VLOOKUP(B7,Tabela4[],2,FALSE())</f>
        <v>Média</v>
      </c>
      <c r="D7" s="5" t="str">
        <f aca="false">VLOOKUP(B7,Tabela4[],3,FALSE())</f>
        <v>Rio de Janeiro</v>
      </c>
      <c r="E7" s="2" t="s">
        <v>14</v>
      </c>
      <c r="F7" s="6" t="n">
        <f aca="false">VLOOKUP($K7,'FATURAMENTO '!$A$2:$E$302,4,FALSE())</f>
        <v>42192</v>
      </c>
      <c r="G7" s="6" t="n">
        <f aca="false">VLOOKUP($K7,'FATURAMENTO '!$A$2:$E$302,5,FALSE())</f>
        <v>26160.68</v>
      </c>
      <c r="H7" s="1" t="str">
        <f aca="false">VLOOKUP($K7,CHURN!$A$2:$E$302,4,FALSE())</f>
        <v>Ativo</v>
      </c>
      <c r="I7" s="7" t="n">
        <f aca="false">(F7-G7)/F7</f>
        <v>0.379961130072052</v>
      </c>
      <c r="J7" s="1" t="str">
        <f aca="false">IF(INDEX($I$3:$I$302,MATCH(B7,$B$3:$B$302,0))&gt;50%,"Alto valor",IF(INDEX($I$3:$I$302,MATCH(B7,$B$3:$B$302,0))&gt;=30%,"Médio valor","Baixo valor"))</f>
        <v>Médio valor</v>
      </c>
      <c r="K7" s="0" t="str">
        <f aca="false">CONCATENATE(B7,E7)</f>
        <v>A2025-04</v>
      </c>
      <c r="L7" s="1"/>
    </row>
    <row r="8" customFormat="false" ht="14.25" hidden="false" customHeight="false" outlineLevel="0" collapsed="false">
      <c r="B8" s="1" t="s">
        <v>9</v>
      </c>
      <c r="C8" s="1" t="str">
        <f aca="false">VLOOKUP(B8,Tabela4[],2,FALSE())</f>
        <v>Média</v>
      </c>
      <c r="D8" s="5" t="str">
        <f aca="false">VLOOKUP(B8,Tabela4[],3,FALSE())</f>
        <v>Rio de Janeiro</v>
      </c>
      <c r="E8" s="2" t="s">
        <v>15</v>
      </c>
      <c r="F8" s="6" t="n">
        <f aca="false">VLOOKUP($K8,'FATURAMENTO '!$A$2:$E$302,4,FALSE())</f>
        <v>13155</v>
      </c>
      <c r="G8" s="6" t="n">
        <f aca="false">VLOOKUP($K8,'FATURAMENTO '!$A$2:$E$302,5,FALSE())</f>
        <v>7317.15</v>
      </c>
      <c r="H8" s="1" t="str">
        <f aca="false">VLOOKUP($K8,CHURN!$A$2:$E$302,4,FALSE())</f>
        <v>Ativo</v>
      </c>
      <c r="I8" s="7" t="n">
        <f aca="false">(F8-G8)/F8</f>
        <v>0.443774230330673</v>
      </c>
      <c r="J8" s="1" t="str">
        <f aca="false">IF(INDEX($I$3:$I$302,MATCH(B8,$B$3:$B$302,0))&gt;50%,"Alto valor",IF(INDEX($I$3:$I$302,MATCH(B8,$B$3:$B$302,0))&gt;=30%,"Médio valor","Baixo valor"))</f>
        <v>Médio valor</v>
      </c>
      <c r="K8" s="0" t="str">
        <f aca="false">CONCATENATE(B8,E8)</f>
        <v>A2025-05</v>
      </c>
      <c r="L8" s="1"/>
    </row>
    <row r="9" customFormat="false" ht="14.25" hidden="false" customHeight="false" outlineLevel="0" collapsed="false">
      <c r="B9" s="1" t="s">
        <v>16</v>
      </c>
      <c r="C9" s="1" t="str">
        <f aca="false">VLOOKUP(B9,Tabela4[],2,FALSE())</f>
        <v>Média</v>
      </c>
      <c r="D9" s="5" t="str">
        <f aca="false">VLOOKUP(B9,Tabela4[],3,FALSE())</f>
        <v>Distrito Federal</v>
      </c>
      <c r="E9" s="2" t="s">
        <v>10</v>
      </c>
      <c r="F9" s="6" t="n">
        <f aca="false">VLOOKUP($K9,'FATURAMENTO '!$A$2:$E$302,4,FALSE())</f>
        <v>39211</v>
      </c>
      <c r="G9" s="6" t="n">
        <f aca="false">VLOOKUP($K9,'FATURAMENTO '!$A$2:$E$302,5,FALSE())</f>
        <v>25382.97</v>
      </c>
      <c r="H9" s="1" t="str">
        <f aca="false">VLOOKUP($K9,CHURN!$A$2:$E$302,4,FALSE())</f>
        <v>Ativo</v>
      </c>
      <c r="I9" s="7" t="n">
        <f aca="false">(F9-G9)/F9</f>
        <v>0.352656907500446</v>
      </c>
      <c r="J9" s="1" t="str">
        <f aca="false">IF(INDEX($I$3:$I$302,MATCH(B9,$B$3:$B$302,0))&gt;50%,"Alto valor",IF(INDEX($I$3:$I$302,MATCH(B9,$B$3:$B$302,0))&gt;=30%,"Médio valor","Baixo valor"))</f>
        <v>Médio valor</v>
      </c>
      <c r="K9" s="0" t="str">
        <f aca="false">CONCATENATE(B9,E9)</f>
        <v>B2024-12</v>
      </c>
      <c r="L9" s="1"/>
    </row>
    <row r="10" customFormat="false" ht="14.25" hidden="false" customHeight="false" outlineLevel="0" collapsed="false">
      <c r="B10" s="1" t="s">
        <v>16</v>
      </c>
      <c r="C10" s="1" t="str">
        <f aca="false">VLOOKUP(B10,Tabela4[],2,FALSE())</f>
        <v>Média</v>
      </c>
      <c r="D10" s="5" t="str">
        <f aca="false">VLOOKUP(B10,Tabela4[],3,FALSE())</f>
        <v>Distrito Federal</v>
      </c>
      <c r="E10" s="2" t="s">
        <v>11</v>
      </c>
      <c r="F10" s="6" t="n">
        <f aca="false">VLOOKUP($K10,'FATURAMENTO '!$A$2:$E$302,4,FALSE())</f>
        <v>26027</v>
      </c>
      <c r="G10" s="6" t="n">
        <f aca="false">VLOOKUP($K10,'FATURAMENTO '!$A$2:$E$302,5,FALSE())</f>
        <v>19476.55</v>
      </c>
      <c r="H10" s="1" t="str">
        <f aca="false">VLOOKUP($K10,CHURN!$A$2:$E$302,4,FALSE())</f>
        <v>Ativo</v>
      </c>
      <c r="I10" s="7" t="n">
        <f aca="false">(F10-G10)/F10</f>
        <v>0.251679025627233</v>
      </c>
      <c r="J10" s="1" t="str">
        <f aca="false">IF(INDEX($I$3:$I$302,MATCH(B10,$B$3:$B$302,0))&gt;50%,"Alto valor",IF(INDEX($I$3:$I$302,MATCH(B10,$B$3:$B$302,0))&gt;=30%,"Médio valor","Baixo valor"))</f>
        <v>Médio valor</v>
      </c>
      <c r="K10" s="0" t="str">
        <f aca="false">CONCATENATE(B10,E10)</f>
        <v>B2025-01</v>
      </c>
      <c r="L10" s="1"/>
    </row>
    <row r="11" customFormat="false" ht="14.25" hidden="false" customHeight="false" outlineLevel="0" collapsed="false">
      <c r="B11" s="1" t="s">
        <v>16</v>
      </c>
      <c r="C11" s="1" t="str">
        <f aca="false">VLOOKUP(B11,Tabela4[],2,FALSE())</f>
        <v>Média</v>
      </c>
      <c r="D11" s="5" t="str">
        <f aca="false">VLOOKUP(B11,Tabela4[],3,FALSE())</f>
        <v>Distrito Federal</v>
      </c>
      <c r="E11" s="2" t="s">
        <v>12</v>
      </c>
      <c r="F11" s="6" t="n">
        <f aca="false">VLOOKUP($K11,'FATURAMENTO '!$A$2:$E$302,4,FALSE())</f>
        <v>35119</v>
      </c>
      <c r="G11" s="6" t="n">
        <f aca="false">VLOOKUP($K11,'FATURAMENTO '!$A$2:$E$302,5,FALSE())</f>
        <v>20804.3</v>
      </c>
      <c r="H11" s="1" t="str">
        <f aca="false">VLOOKUP($K11,CHURN!$A$2:$E$302,4,FALSE())</f>
        <v>Ativo</v>
      </c>
      <c r="I11" s="7" t="n">
        <f aca="false">(F11-G11)/F11</f>
        <v>0.407605569634671</v>
      </c>
      <c r="J11" s="1" t="str">
        <f aca="false">IF(INDEX($I$3:$I$302,MATCH(B11,$B$3:$B$302,0))&gt;50%,"Alto valor",IF(INDEX($I$3:$I$302,MATCH(B11,$B$3:$B$302,0))&gt;=30%,"Médio valor","Baixo valor"))</f>
        <v>Médio valor</v>
      </c>
      <c r="K11" s="0" t="str">
        <f aca="false">CONCATENATE(B11,E11)</f>
        <v>B2025-02</v>
      </c>
      <c r="L11" s="1"/>
    </row>
    <row r="12" customFormat="false" ht="14.25" hidden="false" customHeight="false" outlineLevel="0" collapsed="false">
      <c r="B12" s="1" t="s">
        <v>16</v>
      </c>
      <c r="C12" s="1" t="str">
        <f aca="false">VLOOKUP(B12,Tabela4[],2,FALSE())</f>
        <v>Média</v>
      </c>
      <c r="D12" s="5" t="str">
        <f aca="false">VLOOKUP(B12,Tabela4[],3,FALSE())</f>
        <v>Distrito Federal</v>
      </c>
      <c r="E12" s="2" t="s">
        <v>13</v>
      </c>
      <c r="F12" s="6" t="n">
        <f aca="false">VLOOKUP($K12,'FATURAMENTO '!$A$2:$E$302,4,FALSE())</f>
        <v>21363</v>
      </c>
      <c r="G12" s="6" t="n">
        <f aca="false">VLOOKUP($K12,'FATURAMENTO '!$A$2:$E$302,5,FALSE())</f>
        <v>16304.52</v>
      </c>
      <c r="H12" s="1" t="str">
        <f aca="false">VLOOKUP($K12,CHURN!$A$2:$E$302,4,FALSE())</f>
        <v>Ativo</v>
      </c>
      <c r="I12" s="7" t="n">
        <f aca="false">(F12-G12)/F12</f>
        <v>0.236786968122455</v>
      </c>
      <c r="J12" s="1" t="str">
        <f aca="false">IF(INDEX($I$3:$I$302,MATCH(B12,$B$3:$B$302,0))&gt;50%,"Alto valor",IF(INDEX($I$3:$I$302,MATCH(B12,$B$3:$B$302,0))&gt;=30%,"Médio valor","Baixo valor"))</f>
        <v>Médio valor</v>
      </c>
      <c r="K12" s="0" t="str">
        <f aca="false">CONCATENATE(B12,E12)</f>
        <v>B2025-03</v>
      </c>
      <c r="L12" s="1"/>
    </row>
    <row r="13" customFormat="false" ht="14.25" hidden="false" customHeight="false" outlineLevel="0" collapsed="false">
      <c r="B13" s="1" t="s">
        <v>16</v>
      </c>
      <c r="C13" s="1" t="str">
        <f aca="false">VLOOKUP(B13,Tabela4[],2,FALSE())</f>
        <v>Média</v>
      </c>
      <c r="D13" s="5" t="str">
        <f aca="false">VLOOKUP(B13,Tabela4[],3,FALSE())</f>
        <v>Distrito Federal</v>
      </c>
      <c r="E13" s="2" t="s">
        <v>14</v>
      </c>
      <c r="F13" s="6" t="n">
        <f aca="false">VLOOKUP($K13,'FATURAMENTO '!$A$2:$E$302,4,FALSE())</f>
        <v>7179</v>
      </c>
      <c r="G13" s="6" t="n">
        <f aca="false">VLOOKUP($K13,'FATURAMENTO '!$A$2:$E$302,5,FALSE())</f>
        <v>4489.85</v>
      </c>
      <c r="H13" s="1" t="str">
        <f aca="false">VLOOKUP($K13,CHURN!$A$2:$E$302,4,FALSE())</f>
        <v>Cancelado</v>
      </c>
      <c r="I13" s="7" t="n">
        <f aca="false">(F13-G13)/F13</f>
        <v>0.374585596879788</v>
      </c>
      <c r="J13" s="1" t="str">
        <f aca="false">IF(INDEX($I$3:$I$302,MATCH(B13,$B$3:$B$302,0))&gt;50%,"Alto valor",IF(INDEX($I$3:$I$302,MATCH(B13,$B$3:$B$302,0))&gt;=30%,"Médio valor","Baixo valor"))</f>
        <v>Médio valor</v>
      </c>
      <c r="K13" s="0" t="str">
        <f aca="false">CONCATENATE(B13,E13)</f>
        <v>B2025-04</v>
      </c>
      <c r="L13" s="1"/>
    </row>
    <row r="14" customFormat="false" ht="14.25" hidden="false" customHeight="false" outlineLevel="0" collapsed="false">
      <c r="B14" s="1" t="s">
        <v>16</v>
      </c>
      <c r="C14" s="1" t="str">
        <f aca="false">VLOOKUP(B14,Tabela4[],2,FALSE())</f>
        <v>Média</v>
      </c>
      <c r="D14" s="5" t="str">
        <f aca="false">VLOOKUP(B14,Tabela4[],3,FALSE())</f>
        <v>Distrito Federal</v>
      </c>
      <c r="E14" s="2" t="s">
        <v>15</v>
      </c>
      <c r="F14" s="6" t="n">
        <f aca="false">VLOOKUP($K14,'FATURAMENTO '!$A$2:$E$302,4,FALSE())</f>
        <v>26815</v>
      </c>
      <c r="G14" s="6" t="n">
        <f aca="false">VLOOKUP($K14,'FATURAMENTO '!$A$2:$E$302,5,FALSE())</f>
        <v>14788.29</v>
      </c>
      <c r="H14" s="1" t="str">
        <f aca="false">VLOOKUP($K14,CHURN!$A$2:$E$302,4,FALSE())</f>
        <v>Ativo</v>
      </c>
      <c r="I14" s="7" t="n">
        <f aca="false">(F14-G14)/F14</f>
        <v>0.448506805892224</v>
      </c>
      <c r="J14" s="1" t="str">
        <f aca="false">IF(INDEX($I$3:$I$302,MATCH(B14,$B$3:$B$302,0))&gt;50%,"Alto valor",IF(INDEX($I$3:$I$302,MATCH(B14,$B$3:$B$302,0))&gt;=30%,"Médio valor","Baixo valor"))</f>
        <v>Médio valor</v>
      </c>
      <c r="K14" s="0" t="str">
        <f aca="false">CONCATENATE(B14,E14)</f>
        <v>B2025-05</v>
      </c>
      <c r="L14" s="1"/>
    </row>
    <row r="15" customFormat="false" ht="14.25" hidden="false" customHeight="false" outlineLevel="0" collapsed="false">
      <c r="B15" s="1" t="s">
        <v>17</v>
      </c>
      <c r="C15" s="1" t="str">
        <f aca="false">VLOOKUP(B15,Tabela4[],2,FALSE())</f>
        <v>Grande</v>
      </c>
      <c r="D15" s="5" t="str">
        <f aca="false">VLOOKUP(B15,Tabela4[],3,FALSE())</f>
        <v>São Paulo</v>
      </c>
      <c r="E15" s="2" t="s">
        <v>10</v>
      </c>
      <c r="F15" s="6" t="n">
        <f aca="false">VLOOKUP($K15,'FATURAMENTO '!$A$2:$E$302,4,FALSE())</f>
        <v>15923</v>
      </c>
      <c r="G15" s="6" t="n">
        <f aca="false">VLOOKUP($K15,'FATURAMENTO '!$A$2:$E$302,5,FALSE())</f>
        <v>11332.07</v>
      </c>
      <c r="H15" s="1" t="str">
        <f aca="false">VLOOKUP($K15,CHURN!$A$2:$E$302,4,FALSE())</f>
        <v>Ativo</v>
      </c>
      <c r="I15" s="7" t="n">
        <f aca="false">(F15-G15)/F15</f>
        <v>0.288320668215789</v>
      </c>
      <c r="J15" s="1" t="str">
        <f aca="false">IF(INDEX($I$3:$I$302,MATCH(B15,$B$3:$B$302,0))&gt;50%,"Alto valor",IF(INDEX($I$3:$I$302,MATCH(B15,$B$3:$B$302,0))&gt;=30%,"Médio valor","Baixo valor"))</f>
        <v>Baixo valor</v>
      </c>
      <c r="K15" s="0" t="str">
        <f aca="false">CONCATENATE(B15,E15)</f>
        <v>C2024-12</v>
      </c>
      <c r="L15" s="1"/>
    </row>
    <row r="16" customFormat="false" ht="14.25" hidden="false" customHeight="false" outlineLevel="0" collapsed="false">
      <c r="B16" s="1" t="s">
        <v>17</v>
      </c>
      <c r="C16" s="1" t="str">
        <f aca="false">VLOOKUP(B16,Tabela4[],2,FALSE())</f>
        <v>Grande</v>
      </c>
      <c r="D16" s="5" t="str">
        <f aca="false">VLOOKUP(B16,Tabela4[],3,FALSE())</f>
        <v>São Paulo</v>
      </c>
      <c r="E16" s="2" t="s">
        <v>11</v>
      </c>
      <c r="F16" s="6" t="n">
        <f aca="false">VLOOKUP($K16,'FATURAMENTO '!$A$2:$E$302,4,FALSE())</f>
        <v>4922</v>
      </c>
      <c r="G16" s="6" t="n">
        <f aca="false">VLOOKUP($K16,'FATURAMENTO '!$A$2:$E$302,5,FALSE())</f>
        <v>3371.62</v>
      </c>
      <c r="H16" s="1" t="str">
        <f aca="false">VLOOKUP($K16,CHURN!$A$2:$E$302,4,FALSE())</f>
        <v>Ativo</v>
      </c>
      <c r="I16" s="7" t="n">
        <f aca="false">(F16-G16)/F16</f>
        <v>0.314989841527834</v>
      </c>
      <c r="J16" s="1" t="str">
        <f aca="false">IF(INDEX($I$3:$I$302,MATCH(B16,$B$3:$B$302,0))&gt;50%,"Alto valor",IF(INDEX($I$3:$I$302,MATCH(B16,$B$3:$B$302,0))&gt;=30%,"Médio valor","Baixo valor"))</f>
        <v>Baixo valor</v>
      </c>
      <c r="K16" s="0" t="str">
        <f aca="false">CONCATENATE(B16,E16)</f>
        <v>C2025-01</v>
      </c>
      <c r="L16" s="1"/>
    </row>
    <row r="17" customFormat="false" ht="14.25" hidden="false" customHeight="false" outlineLevel="0" collapsed="false">
      <c r="B17" s="1" t="s">
        <v>17</v>
      </c>
      <c r="C17" s="1" t="str">
        <f aca="false">VLOOKUP(B17,Tabela4[],2,FALSE())</f>
        <v>Grande</v>
      </c>
      <c r="D17" s="5" t="str">
        <f aca="false">VLOOKUP(B17,Tabela4[],3,FALSE())</f>
        <v>São Paulo</v>
      </c>
      <c r="E17" s="2" t="s">
        <v>12</v>
      </c>
      <c r="F17" s="6" t="n">
        <f aca="false">VLOOKUP($K17,'FATURAMENTO '!$A$2:$E$302,4,FALSE())</f>
        <v>46087</v>
      </c>
      <c r="G17" s="6" t="n">
        <f aca="false">VLOOKUP($K17,'FATURAMENTO '!$A$2:$E$302,5,FALSE())</f>
        <v>23605.5</v>
      </c>
      <c r="H17" s="1" t="str">
        <f aca="false">VLOOKUP($K17,CHURN!$A$2:$E$302,4,FALSE())</f>
        <v>Ativo</v>
      </c>
      <c r="I17" s="7" t="n">
        <f aca="false">(F17-G17)/F17</f>
        <v>0.487805671881442</v>
      </c>
      <c r="J17" s="1" t="str">
        <f aca="false">IF(INDEX($I$3:$I$302,MATCH(B17,$B$3:$B$302,0))&gt;50%,"Alto valor",IF(INDEX($I$3:$I$302,MATCH(B17,$B$3:$B$302,0))&gt;=30%,"Médio valor","Baixo valor"))</f>
        <v>Baixo valor</v>
      </c>
      <c r="K17" s="0" t="str">
        <f aca="false">CONCATENATE(B17,E17)</f>
        <v>C2025-02</v>
      </c>
      <c r="L17" s="1"/>
    </row>
    <row r="18" customFormat="false" ht="14.25" hidden="false" customHeight="false" outlineLevel="0" collapsed="false">
      <c r="B18" s="1" t="s">
        <v>17</v>
      </c>
      <c r="C18" s="1" t="str">
        <f aca="false">VLOOKUP(B18,Tabela4[],2,FALSE())</f>
        <v>Grande</v>
      </c>
      <c r="D18" s="5" t="str">
        <f aca="false">VLOOKUP(B18,Tabela4[],3,FALSE())</f>
        <v>São Paulo</v>
      </c>
      <c r="E18" s="2" t="s">
        <v>13</v>
      </c>
      <c r="F18" s="6" t="n">
        <f aca="false">VLOOKUP($K18,'FATURAMENTO '!$A$2:$E$302,4,FALSE())</f>
        <v>24934</v>
      </c>
      <c r="G18" s="6" t="n">
        <f aca="false">VLOOKUP($K18,'FATURAMENTO '!$A$2:$E$302,5,FALSE())</f>
        <v>15050.3</v>
      </c>
      <c r="H18" s="1" t="str">
        <f aca="false">VLOOKUP($K18,CHURN!$A$2:$E$302,4,FALSE())</f>
        <v>Ativo</v>
      </c>
      <c r="I18" s="7" t="n">
        <f aca="false">(F18-G18)/F18</f>
        <v>0.396394481430978</v>
      </c>
      <c r="J18" s="1" t="str">
        <f aca="false">IF(INDEX($I$3:$I$302,MATCH(B18,$B$3:$B$302,0))&gt;50%,"Alto valor",IF(INDEX($I$3:$I$302,MATCH(B18,$B$3:$B$302,0))&gt;=30%,"Médio valor","Baixo valor"))</f>
        <v>Baixo valor</v>
      </c>
      <c r="K18" s="0" t="str">
        <f aca="false">CONCATENATE(B18,E18)</f>
        <v>C2025-03</v>
      </c>
      <c r="L18" s="1"/>
    </row>
    <row r="19" customFormat="false" ht="14.25" hidden="false" customHeight="false" outlineLevel="0" collapsed="false">
      <c r="B19" s="1" t="s">
        <v>17</v>
      </c>
      <c r="C19" s="1" t="str">
        <f aca="false">VLOOKUP(B19,Tabela4[],2,FALSE())</f>
        <v>Grande</v>
      </c>
      <c r="D19" s="5" t="str">
        <f aca="false">VLOOKUP(B19,Tabela4[],3,FALSE())</f>
        <v>São Paulo</v>
      </c>
      <c r="E19" s="2" t="s">
        <v>14</v>
      </c>
      <c r="F19" s="6" t="n">
        <f aca="false">VLOOKUP($K19,'FATURAMENTO '!$A$2:$E$302,4,FALSE())</f>
        <v>10325</v>
      </c>
      <c r="G19" s="6" t="n">
        <f aca="false">VLOOKUP($K19,'FATURAMENTO '!$A$2:$E$302,5,FALSE())</f>
        <v>6350.68</v>
      </c>
      <c r="H19" s="1" t="str">
        <f aca="false">VLOOKUP($K19,CHURN!$A$2:$E$302,4,FALSE())</f>
        <v>Ativo</v>
      </c>
      <c r="I19" s="7" t="n">
        <f aca="false">(F19-G19)/F19</f>
        <v>0.384922033898305</v>
      </c>
      <c r="J19" s="1" t="str">
        <f aca="false">IF(INDEX($I$3:$I$302,MATCH(B19,$B$3:$B$302,0))&gt;50%,"Alto valor",IF(INDEX($I$3:$I$302,MATCH(B19,$B$3:$B$302,0))&gt;=30%,"Médio valor","Baixo valor"))</f>
        <v>Baixo valor</v>
      </c>
      <c r="K19" s="0" t="str">
        <f aca="false">CONCATENATE(B19,E19)</f>
        <v>C2025-04</v>
      </c>
      <c r="L19" s="1"/>
    </row>
    <row r="20" customFormat="false" ht="14.25" hidden="false" customHeight="false" outlineLevel="0" collapsed="false">
      <c r="B20" s="1" t="s">
        <v>17</v>
      </c>
      <c r="C20" s="1" t="str">
        <f aca="false">VLOOKUP(B20,Tabela4[],2,FALSE())</f>
        <v>Grande</v>
      </c>
      <c r="D20" s="5" t="str">
        <f aca="false">VLOOKUP(B20,Tabela4[],3,FALSE())</f>
        <v>São Paulo</v>
      </c>
      <c r="E20" s="2" t="s">
        <v>15</v>
      </c>
      <c r="F20" s="6" t="n">
        <f aca="false">VLOOKUP($K20,'FATURAMENTO '!$A$2:$E$302,4,FALSE())</f>
        <v>15620</v>
      </c>
      <c r="G20" s="6" t="n">
        <f aca="false">VLOOKUP($K20,'FATURAMENTO '!$A$2:$E$302,5,FALSE())</f>
        <v>11100.81</v>
      </c>
      <c r="H20" s="1" t="str">
        <f aca="false">VLOOKUP($K20,CHURN!$A$2:$E$302,4,FALSE())</f>
        <v>Ativo</v>
      </c>
      <c r="I20" s="7" t="n">
        <f aca="false">(F20-G20)/F20</f>
        <v>0.289320742637644</v>
      </c>
      <c r="J20" s="1" t="str">
        <f aca="false">IF(INDEX($I$3:$I$302,MATCH(B20,$B$3:$B$302,0))&gt;50%,"Alto valor",IF(INDEX($I$3:$I$302,MATCH(B20,$B$3:$B$302,0))&gt;=30%,"Médio valor","Baixo valor"))</f>
        <v>Baixo valor</v>
      </c>
      <c r="K20" s="0" t="str">
        <f aca="false">CONCATENATE(B20,E20)</f>
        <v>C2025-05</v>
      </c>
      <c r="L20" s="1"/>
    </row>
    <row r="21" customFormat="false" ht="14.25" hidden="false" customHeight="false" outlineLevel="0" collapsed="false">
      <c r="B21" s="1" t="s">
        <v>18</v>
      </c>
      <c r="C21" s="1" t="str">
        <f aca="false">VLOOKUP(B21,Tabela4[],2,FALSE())</f>
        <v>Pequena</v>
      </c>
      <c r="D21" s="5" t="str">
        <f aca="false">VLOOKUP(B21,Tabela4[],3,FALSE())</f>
        <v>Rio de Janeiro</v>
      </c>
      <c r="E21" s="2" t="s">
        <v>10</v>
      </c>
      <c r="F21" s="6" t="n">
        <f aca="false">VLOOKUP($K21,'FATURAMENTO '!$A$2:$E$302,4,FALSE())</f>
        <v>14806</v>
      </c>
      <c r="G21" s="6" t="n">
        <f aca="false">VLOOKUP($K21,'FATURAMENTO '!$A$2:$E$302,5,FALSE())</f>
        <v>11759.08</v>
      </c>
      <c r="H21" s="1" t="str">
        <f aca="false">VLOOKUP($K21,CHURN!$A$2:$E$302,4,FALSE())</f>
        <v>Ativo</v>
      </c>
      <c r="I21" s="7" t="n">
        <f aca="false">(F21-G21)/F21</f>
        <v>0.205789544779144</v>
      </c>
      <c r="J21" s="1" t="str">
        <f aca="false">IF(INDEX($I$3:$I$302,MATCH(B21,$B$3:$B$302,0))&gt;50%,"Alto valor",IF(INDEX($I$3:$I$302,MATCH(B21,$B$3:$B$302,0))&gt;=30%,"Médio valor","Baixo valor"))</f>
        <v>Baixo valor</v>
      </c>
      <c r="K21" s="0" t="str">
        <f aca="false">CONCATENATE(B21,E21)</f>
        <v>D2024-12</v>
      </c>
      <c r="L21" s="1"/>
    </row>
    <row r="22" customFormat="false" ht="14.25" hidden="false" customHeight="false" outlineLevel="0" collapsed="false">
      <c r="B22" s="1" t="s">
        <v>18</v>
      </c>
      <c r="C22" s="1" t="str">
        <f aca="false">VLOOKUP(B22,Tabela4[],2,FALSE())</f>
        <v>Pequena</v>
      </c>
      <c r="D22" s="5" t="str">
        <f aca="false">VLOOKUP(B22,Tabela4[],3,FALSE())</f>
        <v>Rio de Janeiro</v>
      </c>
      <c r="E22" s="2" t="s">
        <v>11</v>
      </c>
      <c r="F22" s="6" t="n">
        <f aca="false">VLOOKUP($K22,'FATURAMENTO '!$A$2:$E$302,4,FALSE())</f>
        <v>38204</v>
      </c>
      <c r="G22" s="6" t="n">
        <f aca="false">VLOOKUP($K22,'FATURAMENTO '!$A$2:$E$302,5,FALSE())</f>
        <v>22071.97</v>
      </c>
      <c r="H22" s="1" t="str">
        <f aca="false">VLOOKUP($K22,CHURN!$A$2:$E$302,4,FALSE())</f>
        <v>Cancelado</v>
      </c>
      <c r="I22" s="7" t="n">
        <f aca="false">(F22-G22)/F22</f>
        <v>0.422260234530416</v>
      </c>
      <c r="J22" s="1" t="str">
        <f aca="false">IF(INDEX($I$3:$I$302,MATCH(B22,$B$3:$B$302,0))&gt;50%,"Alto valor",IF(INDEX($I$3:$I$302,MATCH(B22,$B$3:$B$302,0))&gt;=30%,"Médio valor","Baixo valor"))</f>
        <v>Baixo valor</v>
      </c>
      <c r="K22" s="0" t="str">
        <f aca="false">CONCATENATE(B22,E22)</f>
        <v>D2025-01</v>
      </c>
      <c r="L22" s="1"/>
    </row>
    <row r="23" customFormat="false" ht="14.25" hidden="false" customHeight="false" outlineLevel="0" collapsed="false">
      <c r="B23" s="1" t="s">
        <v>18</v>
      </c>
      <c r="C23" s="1" t="str">
        <f aca="false">VLOOKUP(B23,Tabela4[],2,FALSE())</f>
        <v>Pequena</v>
      </c>
      <c r="D23" s="5" t="str">
        <f aca="false">VLOOKUP(B23,Tabela4[],3,FALSE())</f>
        <v>Rio de Janeiro</v>
      </c>
      <c r="E23" s="2" t="s">
        <v>12</v>
      </c>
      <c r="F23" s="6" t="n">
        <f aca="false">VLOOKUP($K23,'FATURAMENTO '!$A$2:$E$302,4,FALSE())</f>
        <v>45343</v>
      </c>
      <c r="G23" s="6" t="n">
        <f aca="false">VLOOKUP($K23,'FATURAMENTO '!$A$2:$E$302,5,FALSE())</f>
        <v>27404.74</v>
      </c>
      <c r="H23" s="1" t="str">
        <f aca="false">VLOOKUP($K23,CHURN!$A$2:$E$302,4,FALSE())</f>
        <v>Ativo</v>
      </c>
      <c r="I23" s="7" t="n">
        <f aca="false">(F23-G23)/F23</f>
        <v>0.395612553205566</v>
      </c>
      <c r="J23" s="1" t="str">
        <f aca="false">IF(INDEX($I$3:$I$302,MATCH(B23,$B$3:$B$302,0))&gt;50%,"Alto valor",IF(INDEX($I$3:$I$302,MATCH(B23,$B$3:$B$302,0))&gt;=30%,"Médio valor","Baixo valor"))</f>
        <v>Baixo valor</v>
      </c>
      <c r="K23" s="0" t="str">
        <f aca="false">CONCATENATE(B23,E23)</f>
        <v>D2025-02</v>
      </c>
      <c r="L23" s="1"/>
    </row>
    <row r="24" customFormat="false" ht="14.25" hidden="false" customHeight="false" outlineLevel="0" collapsed="false">
      <c r="B24" s="1" t="s">
        <v>18</v>
      </c>
      <c r="C24" s="1" t="str">
        <f aca="false">VLOOKUP(B24,Tabela4[],2,FALSE())</f>
        <v>Pequena</v>
      </c>
      <c r="D24" s="5" t="str">
        <f aca="false">VLOOKUP(B24,Tabela4[],3,FALSE())</f>
        <v>Rio de Janeiro</v>
      </c>
      <c r="E24" s="2" t="s">
        <v>13</v>
      </c>
      <c r="F24" s="6" t="n">
        <f aca="false">VLOOKUP($K24,'FATURAMENTO '!$A$2:$E$302,4,FALSE())</f>
        <v>4530</v>
      </c>
      <c r="G24" s="6" t="n">
        <f aca="false">VLOOKUP($K24,'FATURAMENTO '!$A$2:$E$302,5,FALSE())</f>
        <v>3245.71</v>
      </c>
      <c r="H24" s="1" t="str">
        <f aca="false">VLOOKUP($K24,CHURN!$A$2:$E$302,4,FALSE())</f>
        <v>Ativo</v>
      </c>
      <c r="I24" s="7" t="n">
        <f aca="false">(F24-G24)/F24</f>
        <v>0.283507726269316</v>
      </c>
      <c r="J24" s="1" t="str">
        <f aca="false">IF(INDEX($I$3:$I$302,MATCH(B24,$B$3:$B$302,0))&gt;50%,"Alto valor",IF(INDEX($I$3:$I$302,MATCH(B24,$B$3:$B$302,0))&gt;=30%,"Médio valor","Baixo valor"))</f>
        <v>Baixo valor</v>
      </c>
      <c r="K24" s="0" t="str">
        <f aca="false">CONCATENATE(B24,E24)</f>
        <v>D2025-03</v>
      </c>
      <c r="L24" s="1"/>
    </row>
    <row r="25" customFormat="false" ht="14.25" hidden="false" customHeight="false" outlineLevel="0" collapsed="false">
      <c r="B25" s="1" t="s">
        <v>18</v>
      </c>
      <c r="C25" s="1" t="str">
        <f aca="false">VLOOKUP(B25,Tabela4[],2,FALSE())</f>
        <v>Pequena</v>
      </c>
      <c r="D25" s="5" t="str">
        <f aca="false">VLOOKUP(B25,Tabela4[],3,FALSE())</f>
        <v>Rio de Janeiro</v>
      </c>
      <c r="E25" s="2" t="s">
        <v>14</v>
      </c>
      <c r="F25" s="6" t="n">
        <f aca="false">VLOOKUP($K25,'FATURAMENTO '!$A$2:$E$302,4,FALSE())</f>
        <v>37571</v>
      </c>
      <c r="G25" s="6" t="n">
        <f aca="false">VLOOKUP($K25,'FATURAMENTO '!$A$2:$E$302,5,FALSE())</f>
        <v>23561.6</v>
      </c>
      <c r="H25" s="1" t="str">
        <f aca="false">VLOOKUP($K25,CHURN!$A$2:$E$302,4,FALSE())</f>
        <v>Ativo</v>
      </c>
      <c r="I25" s="7" t="n">
        <f aca="false">(F25-G25)/F25</f>
        <v>0.372878017619973</v>
      </c>
      <c r="J25" s="1" t="str">
        <f aca="false">IF(INDEX($I$3:$I$302,MATCH(B25,$B$3:$B$302,0))&gt;50%,"Alto valor",IF(INDEX($I$3:$I$302,MATCH(B25,$B$3:$B$302,0))&gt;=30%,"Médio valor","Baixo valor"))</f>
        <v>Baixo valor</v>
      </c>
      <c r="K25" s="0" t="str">
        <f aca="false">CONCATENATE(B25,E25)</f>
        <v>D2025-04</v>
      </c>
      <c r="L25" s="1"/>
    </row>
    <row r="26" customFormat="false" ht="14.25" hidden="false" customHeight="false" outlineLevel="0" collapsed="false">
      <c r="B26" s="1" t="s">
        <v>18</v>
      </c>
      <c r="C26" s="1" t="str">
        <f aca="false">VLOOKUP(B26,Tabela4[],2,FALSE())</f>
        <v>Pequena</v>
      </c>
      <c r="D26" s="5" t="str">
        <f aca="false">VLOOKUP(B26,Tabela4[],3,FALSE())</f>
        <v>Rio de Janeiro</v>
      </c>
      <c r="E26" s="2" t="s">
        <v>15</v>
      </c>
      <c r="F26" s="6" t="n">
        <f aca="false">VLOOKUP($K26,'FATURAMENTO '!$A$2:$E$302,4,FALSE())</f>
        <v>4056</v>
      </c>
      <c r="G26" s="6" t="n">
        <f aca="false">VLOOKUP($K26,'FATURAMENTO '!$A$2:$E$302,5,FALSE())</f>
        <v>2302.59</v>
      </c>
      <c r="H26" s="1" t="str">
        <f aca="false">VLOOKUP($K26,CHURN!$A$2:$E$302,4,FALSE())</f>
        <v>Cancelado</v>
      </c>
      <c r="I26" s="7" t="n">
        <f aca="false">(F26-G26)/F26</f>
        <v>0.432300295857988</v>
      </c>
      <c r="J26" s="1" t="str">
        <f aca="false">IF(INDEX($I$3:$I$302,MATCH(B26,$B$3:$B$302,0))&gt;50%,"Alto valor",IF(INDEX($I$3:$I$302,MATCH(B26,$B$3:$B$302,0))&gt;=30%,"Médio valor","Baixo valor"))</f>
        <v>Baixo valor</v>
      </c>
      <c r="K26" s="0" t="str">
        <f aca="false">CONCATENATE(B26,E26)</f>
        <v>D2025-05</v>
      </c>
      <c r="L26" s="1"/>
    </row>
    <row r="27" customFormat="false" ht="14.25" hidden="false" customHeight="false" outlineLevel="0" collapsed="false">
      <c r="B27" s="1" t="s">
        <v>19</v>
      </c>
      <c r="C27" s="1" t="str">
        <f aca="false">VLOOKUP(B27,Tabela4[],2,FALSE())</f>
        <v>Média</v>
      </c>
      <c r="D27" s="5" t="str">
        <f aca="false">VLOOKUP(B27,Tabela4[],3,FALSE())</f>
        <v>São Paulo</v>
      </c>
      <c r="E27" s="2" t="s">
        <v>10</v>
      </c>
      <c r="F27" s="6" t="n">
        <f aca="false">VLOOKUP($K27,'FATURAMENTO '!$A$2:$E$302,4,FALSE())</f>
        <v>2657</v>
      </c>
      <c r="G27" s="6" t="n">
        <f aca="false">VLOOKUP($K27,'FATURAMENTO '!$A$2:$E$302,5,FALSE())</f>
        <v>1928.07</v>
      </c>
      <c r="H27" s="1" t="str">
        <f aca="false">VLOOKUP($K27,CHURN!$A$2:$E$302,4,FALSE())</f>
        <v>Ativo</v>
      </c>
      <c r="I27" s="7" t="n">
        <f aca="false">(F27-G27)/F27</f>
        <v>0.274343244260444</v>
      </c>
      <c r="J27" s="1" t="str">
        <f aca="false">IF(INDEX($I$3:$I$302,MATCH(B27,$B$3:$B$302,0))&gt;50%,"Alto valor",IF(INDEX($I$3:$I$302,MATCH(B27,$B$3:$B$302,0))&gt;=30%,"Médio valor","Baixo valor"))</f>
        <v>Baixo valor</v>
      </c>
      <c r="K27" s="0" t="str">
        <f aca="false">CONCATENATE(B27,E27)</f>
        <v>E2024-12</v>
      </c>
      <c r="L27" s="1"/>
    </row>
    <row r="28" customFormat="false" ht="14.25" hidden="false" customHeight="false" outlineLevel="0" collapsed="false">
      <c r="B28" s="1" t="s">
        <v>19</v>
      </c>
      <c r="C28" s="1" t="str">
        <f aca="false">VLOOKUP(B28,Tabela4[],2,FALSE())</f>
        <v>Média</v>
      </c>
      <c r="D28" s="5" t="str">
        <f aca="false">VLOOKUP(B28,Tabela4[],3,FALSE())</f>
        <v>São Paulo</v>
      </c>
      <c r="E28" s="2" t="s">
        <v>11</v>
      </c>
      <c r="F28" s="6" t="n">
        <f aca="false">VLOOKUP($K28,'FATURAMENTO '!$A$2:$E$302,4,FALSE())</f>
        <v>11565</v>
      </c>
      <c r="G28" s="6" t="n">
        <f aca="false">VLOOKUP($K28,'FATURAMENTO '!$A$2:$E$302,5,FALSE())</f>
        <v>8763.25</v>
      </c>
      <c r="H28" s="1" t="str">
        <f aca="false">VLOOKUP($K28,CHURN!$A$2:$E$302,4,FALSE())</f>
        <v>Ativo</v>
      </c>
      <c r="I28" s="7" t="n">
        <f aca="false">(F28-G28)/F28</f>
        <v>0.242261132728059</v>
      </c>
      <c r="J28" s="1" t="str">
        <f aca="false">IF(INDEX($I$3:$I$302,MATCH(B28,$B$3:$B$302,0))&gt;50%,"Alto valor",IF(INDEX($I$3:$I$302,MATCH(B28,$B$3:$B$302,0))&gt;=30%,"Médio valor","Baixo valor"))</f>
        <v>Baixo valor</v>
      </c>
      <c r="K28" s="0" t="str">
        <f aca="false">CONCATENATE(B28,E28)</f>
        <v>E2025-01</v>
      </c>
      <c r="L28" s="1"/>
    </row>
    <row r="29" customFormat="false" ht="14.25" hidden="false" customHeight="false" outlineLevel="0" collapsed="false">
      <c r="B29" s="1" t="s">
        <v>19</v>
      </c>
      <c r="C29" s="1" t="str">
        <f aca="false">VLOOKUP(B29,Tabela4[],2,FALSE())</f>
        <v>Média</v>
      </c>
      <c r="D29" s="5" t="str">
        <f aca="false">VLOOKUP(B29,Tabela4[],3,FALSE())</f>
        <v>São Paulo</v>
      </c>
      <c r="E29" s="2" t="s">
        <v>12</v>
      </c>
      <c r="F29" s="6" t="n">
        <f aca="false">VLOOKUP($K29,'FATURAMENTO '!$A$2:$E$302,4,FALSE())</f>
        <v>36553</v>
      </c>
      <c r="G29" s="6" t="n">
        <f aca="false">VLOOKUP($K29,'FATURAMENTO '!$A$2:$E$302,5,FALSE())</f>
        <v>24262.11</v>
      </c>
      <c r="H29" s="1" t="str">
        <f aca="false">VLOOKUP($K29,CHURN!$A$2:$E$302,4,FALSE())</f>
        <v>Cancelado</v>
      </c>
      <c r="I29" s="7" t="n">
        <f aca="false">(F29-G29)/F29</f>
        <v>0.336248461138621</v>
      </c>
      <c r="J29" s="1" t="str">
        <f aca="false">IF(INDEX($I$3:$I$302,MATCH(B29,$B$3:$B$302,0))&gt;50%,"Alto valor",IF(INDEX($I$3:$I$302,MATCH(B29,$B$3:$B$302,0))&gt;=30%,"Médio valor","Baixo valor"))</f>
        <v>Baixo valor</v>
      </c>
      <c r="K29" s="0" t="str">
        <f aca="false">CONCATENATE(B29,E29)</f>
        <v>E2025-02</v>
      </c>
      <c r="L29" s="1"/>
    </row>
    <row r="30" customFormat="false" ht="14.25" hidden="false" customHeight="false" outlineLevel="0" collapsed="false">
      <c r="B30" s="1" t="s">
        <v>19</v>
      </c>
      <c r="C30" s="1" t="str">
        <f aca="false">VLOOKUP(B30,Tabela4[],2,FALSE())</f>
        <v>Média</v>
      </c>
      <c r="D30" s="5" t="str">
        <f aca="false">VLOOKUP(B30,Tabela4[],3,FALSE())</f>
        <v>São Paulo</v>
      </c>
      <c r="E30" s="2" t="s">
        <v>13</v>
      </c>
      <c r="F30" s="6" t="n">
        <f aca="false">VLOOKUP($K30,'FATURAMENTO '!$A$2:$E$302,4,FALSE())</f>
        <v>28310</v>
      </c>
      <c r="G30" s="6" t="n">
        <f aca="false">VLOOKUP($K30,'FATURAMENTO '!$A$2:$E$302,5,FALSE())</f>
        <v>17281.94</v>
      </c>
      <c r="H30" s="1" t="str">
        <f aca="false">VLOOKUP($K30,CHURN!$A$2:$E$302,4,FALSE())</f>
        <v>Ativo</v>
      </c>
      <c r="I30" s="7" t="n">
        <f aca="false">(F30-G30)/F30</f>
        <v>0.389546450017662</v>
      </c>
      <c r="J30" s="1" t="str">
        <f aca="false">IF(INDEX($I$3:$I$302,MATCH(B30,$B$3:$B$302,0))&gt;50%,"Alto valor",IF(INDEX($I$3:$I$302,MATCH(B30,$B$3:$B$302,0))&gt;=30%,"Médio valor","Baixo valor"))</f>
        <v>Baixo valor</v>
      </c>
      <c r="K30" s="0" t="str">
        <f aca="false">CONCATENATE(B30,E30)</f>
        <v>E2025-03</v>
      </c>
      <c r="L30" s="1"/>
    </row>
    <row r="31" customFormat="false" ht="14.25" hidden="false" customHeight="false" outlineLevel="0" collapsed="false">
      <c r="B31" s="1" t="s">
        <v>19</v>
      </c>
      <c r="C31" s="1" t="str">
        <f aca="false">VLOOKUP(B31,Tabela4[],2,FALSE())</f>
        <v>Média</v>
      </c>
      <c r="D31" s="5" t="str">
        <f aca="false">VLOOKUP(B31,Tabela4[],3,FALSE())</f>
        <v>São Paulo</v>
      </c>
      <c r="E31" s="2" t="s">
        <v>14</v>
      </c>
      <c r="F31" s="6" t="n">
        <f aca="false">VLOOKUP($K31,'FATURAMENTO '!$A$2:$E$302,4,FALSE())</f>
        <v>46096</v>
      </c>
      <c r="G31" s="6" t="n">
        <f aca="false">VLOOKUP($K31,'FATURAMENTO '!$A$2:$E$302,5,FALSE())</f>
        <v>32122.08</v>
      </c>
      <c r="H31" s="1" t="str">
        <f aca="false">VLOOKUP($K31,CHURN!$A$2:$E$302,4,FALSE())</f>
        <v>Ativo</v>
      </c>
      <c r="I31" s="7" t="n">
        <f aca="false">(F31-G31)/F31</f>
        <v>0.303148212426241</v>
      </c>
      <c r="J31" s="1" t="str">
        <f aca="false">IF(INDEX($I$3:$I$302,MATCH(B31,$B$3:$B$302,0))&gt;50%,"Alto valor",IF(INDEX($I$3:$I$302,MATCH(B31,$B$3:$B$302,0))&gt;=30%,"Médio valor","Baixo valor"))</f>
        <v>Baixo valor</v>
      </c>
      <c r="K31" s="0" t="str">
        <f aca="false">CONCATENATE(B31,E31)</f>
        <v>E2025-04</v>
      </c>
      <c r="L31" s="1"/>
    </row>
    <row r="32" customFormat="false" ht="14.25" hidden="false" customHeight="false" outlineLevel="0" collapsed="false">
      <c r="B32" s="1" t="s">
        <v>19</v>
      </c>
      <c r="C32" s="1" t="str">
        <f aca="false">VLOOKUP(B32,Tabela4[],2,FALSE())</f>
        <v>Média</v>
      </c>
      <c r="D32" s="5" t="str">
        <f aca="false">VLOOKUP(B32,Tabela4[],3,FALSE())</f>
        <v>São Paulo</v>
      </c>
      <c r="E32" s="2" t="s">
        <v>15</v>
      </c>
      <c r="F32" s="6" t="n">
        <f aca="false">VLOOKUP($K32,'FATURAMENTO '!$A$2:$E$302,4,FALSE())</f>
        <v>43742</v>
      </c>
      <c r="G32" s="6" t="n">
        <f aca="false">VLOOKUP($K32,'FATURAMENTO '!$A$2:$E$302,5,FALSE())</f>
        <v>29148.19</v>
      </c>
      <c r="H32" s="1" t="str">
        <f aca="false">VLOOKUP($K32,CHURN!$A$2:$E$302,4,FALSE())</f>
        <v>Ativo</v>
      </c>
      <c r="I32" s="7" t="n">
        <f aca="false">(F32-G32)/F32</f>
        <v>0.333633807324768</v>
      </c>
      <c r="J32" s="1" t="str">
        <f aca="false">IF(INDEX($I$3:$I$302,MATCH(B32,$B$3:$B$302,0))&gt;50%,"Alto valor",IF(INDEX($I$3:$I$302,MATCH(B32,$B$3:$B$302,0))&gt;=30%,"Médio valor","Baixo valor"))</f>
        <v>Baixo valor</v>
      </c>
      <c r="K32" s="0" t="str">
        <f aca="false">CONCATENATE(B32,E32)</f>
        <v>E2025-05</v>
      </c>
      <c r="L32" s="1"/>
    </row>
    <row r="33" customFormat="false" ht="14.25" hidden="false" customHeight="false" outlineLevel="0" collapsed="false">
      <c r="B33" s="1" t="s">
        <v>20</v>
      </c>
      <c r="C33" s="1" t="str">
        <f aca="false">VLOOKUP(B33,Tabela4[],2,FALSE())</f>
        <v>Grande</v>
      </c>
      <c r="D33" s="5" t="str">
        <f aca="false">VLOOKUP(B33,Tabela4[],3,FALSE())</f>
        <v>Ceará</v>
      </c>
      <c r="E33" s="2" t="s">
        <v>10</v>
      </c>
      <c r="F33" s="6" t="n">
        <f aca="false">VLOOKUP($K33,'FATURAMENTO '!$A$2:$E$302,4,FALSE())</f>
        <v>30245</v>
      </c>
      <c r="G33" s="6" t="n">
        <f aca="false">VLOOKUP($K33,'FATURAMENTO '!$A$2:$E$302,5,FALSE())</f>
        <v>17225.67</v>
      </c>
      <c r="H33" s="1" t="str">
        <f aca="false">VLOOKUP($K33,CHURN!$A$2:$E$302,4,FALSE())</f>
        <v>Ativo</v>
      </c>
      <c r="I33" s="7" t="n">
        <f aca="false">(F33-G33)/F33</f>
        <v>0.430462225161184</v>
      </c>
      <c r="J33" s="1" t="str">
        <f aca="false">IF(INDEX($I$3:$I$302,MATCH(B33,$B$3:$B$302,0))&gt;50%,"Alto valor",IF(INDEX($I$3:$I$302,MATCH(B33,$B$3:$B$302,0))&gt;=30%,"Médio valor","Baixo valor"))</f>
        <v>Médio valor</v>
      </c>
      <c r="K33" s="0" t="str">
        <f aca="false">CONCATENATE(B33,E33)</f>
        <v>F2024-12</v>
      </c>
      <c r="L33" s="1"/>
    </row>
    <row r="34" customFormat="false" ht="14.25" hidden="false" customHeight="false" outlineLevel="0" collapsed="false">
      <c r="B34" s="1" t="s">
        <v>20</v>
      </c>
      <c r="C34" s="1" t="str">
        <f aca="false">VLOOKUP(B34,Tabela4[],2,FALSE())</f>
        <v>Grande</v>
      </c>
      <c r="D34" s="5" t="str">
        <f aca="false">VLOOKUP(B34,Tabela4[],3,FALSE())</f>
        <v>Ceará</v>
      </c>
      <c r="E34" s="2" t="s">
        <v>11</v>
      </c>
      <c r="F34" s="6" t="n">
        <f aca="false">VLOOKUP($K34,'FATURAMENTO '!$A$2:$E$302,4,FALSE())</f>
        <v>19225</v>
      </c>
      <c r="G34" s="6" t="n">
        <f aca="false">VLOOKUP($K34,'FATURAMENTO '!$A$2:$E$302,5,FALSE())</f>
        <v>13198.56</v>
      </c>
      <c r="H34" s="1" t="str">
        <f aca="false">VLOOKUP($K34,CHURN!$A$2:$E$302,4,FALSE())</f>
        <v>Ativo</v>
      </c>
      <c r="I34" s="7" t="n">
        <f aca="false">(F34-G34)/F34</f>
        <v>0.313468920676203</v>
      </c>
      <c r="J34" s="1" t="str">
        <f aca="false">IF(INDEX($I$3:$I$302,MATCH(B34,$B$3:$B$302,0))&gt;50%,"Alto valor",IF(INDEX($I$3:$I$302,MATCH(B34,$B$3:$B$302,0))&gt;=30%,"Médio valor","Baixo valor"))</f>
        <v>Médio valor</v>
      </c>
      <c r="K34" s="0" t="str">
        <f aca="false">CONCATENATE(B34,E34)</f>
        <v>F2025-01</v>
      </c>
      <c r="L34" s="1"/>
    </row>
    <row r="35" customFormat="false" ht="14.25" hidden="false" customHeight="false" outlineLevel="0" collapsed="false">
      <c r="B35" s="1" t="s">
        <v>20</v>
      </c>
      <c r="C35" s="1" t="str">
        <f aca="false">VLOOKUP(B35,Tabela4[],2,FALSE())</f>
        <v>Grande</v>
      </c>
      <c r="D35" s="5" t="str">
        <f aca="false">VLOOKUP(B35,Tabela4[],3,FALSE())</f>
        <v>Ceará</v>
      </c>
      <c r="E35" s="2" t="s">
        <v>12</v>
      </c>
      <c r="F35" s="6" t="n">
        <f aca="false">VLOOKUP($K35,'FATURAMENTO '!$A$2:$E$302,4,FALSE())</f>
        <v>14920</v>
      </c>
      <c r="G35" s="6" t="n">
        <f aca="false">VLOOKUP($K35,'FATURAMENTO '!$A$2:$E$302,5,FALSE())</f>
        <v>9956.46</v>
      </c>
      <c r="H35" s="1" t="str">
        <f aca="false">VLOOKUP($K35,CHURN!$A$2:$E$302,4,FALSE())</f>
        <v>Ativo</v>
      </c>
      <c r="I35" s="7" t="n">
        <f aca="false">(F35-G35)/F35</f>
        <v>0.332676943699732</v>
      </c>
      <c r="J35" s="1" t="str">
        <f aca="false">IF(INDEX($I$3:$I$302,MATCH(B35,$B$3:$B$302,0))&gt;50%,"Alto valor",IF(INDEX($I$3:$I$302,MATCH(B35,$B$3:$B$302,0))&gt;=30%,"Médio valor","Baixo valor"))</f>
        <v>Médio valor</v>
      </c>
      <c r="K35" s="0" t="str">
        <f aca="false">CONCATENATE(B35,E35)</f>
        <v>F2025-02</v>
      </c>
      <c r="L35" s="1"/>
    </row>
    <row r="36" customFormat="false" ht="14.25" hidden="false" customHeight="false" outlineLevel="0" collapsed="false">
      <c r="B36" s="1" t="s">
        <v>20</v>
      </c>
      <c r="C36" s="1" t="str">
        <f aca="false">VLOOKUP(B36,Tabela4[],2,FALSE())</f>
        <v>Grande</v>
      </c>
      <c r="D36" s="5" t="str">
        <f aca="false">VLOOKUP(B36,Tabela4[],3,FALSE())</f>
        <v>Ceará</v>
      </c>
      <c r="E36" s="2" t="s">
        <v>13</v>
      </c>
      <c r="F36" s="6" t="n">
        <f aca="false">VLOOKUP($K36,'FATURAMENTO '!$A$2:$E$302,4,FALSE())</f>
        <v>2898</v>
      </c>
      <c r="G36" s="6" t="n">
        <f aca="false">VLOOKUP($K36,'FATURAMENTO '!$A$2:$E$302,5,FALSE())</f>
        <v>1676.48</v>
      </c>
      <c r="H36" s="1" t="str">
        <f aca="false">VLOOKUP($K36,CHURN!$A$2:$E$302,4,FALSE())</f>
        <v>Ativo</v>
      </c>
      <c r="I36" s="7" t="n">
        <f aca="false">(F36-G36)/F36</f>
        <v>0.421504485852312</v>
      </c>
      <c r="J36" s="1" t="str">
        <f aca="false">IF(INDEX($I$3:$I$302,MATCH(B36,$B$3:$B$302,0))&gt;50%,"Alto valor",IF(INDEX($I$3:$I$302,MATCH(B36,$B$3:$B$302,0))&gt;=30%,"Médio valor","Baixo valor"))</f>
        <v>Médio valor</v>
      </c>
      <c r="K36" s="0" t="str">
        <f aca="false">CONCATENATE(B36,E36)</f>
        <v>F2025-03</v>
      </c>
      <c r="L36" s="1"/>
    </row>
    <row r="37" customFormat="false" ht="14.25" hidden="false" customHeight="false" outlineLevel="0" collapsed="false">
      <c r="B37" s="1" t="s">
        <v>20</v>
      </c>
      <c r="C37" s="1" t="str">
        <f aca="false">VLOOKUP(B37,Tabela4[],2,FALSE())</f>
        <v>Grande</v>
      </c>
      <c r="D37" s="5" t="str">
        <f aca="false">VLOOKUP(B37,Tabela4[],3,FALSE())</f>
        <v>Ceará</v>
      </c>
      <c r="E37" s="2" t="s">
        <v>14</v>
      </c>
      <c r="F37" s="6" t="n">
        <f aca="false">VLOOKUP($K37,'FATURAMENTO '!$A$2:$E$302,4,FALSE())</f>
        <v>4717</v>
      </c>
      <c r="G37" s="6" t="n">
        <f aca="false">VLOOKUP($K37,'FATURAMENTO '!$A$2:$E$302,5,FALSE())</f>
        <v>3441.2</v>
      </c>
      <c r="H37" s="1" t="str">
        <f aca="false">VLOOKUP($K37,CHURN!$A$2:$E$302,4,FALSE())</f>
        <v>Cancelado</v>
      </c>
      <c r="I37" s="7" t="n">
        <f aca="false">(F37-G37)/F37</f>
        <v>0.270468518125928</v>
      </c>
      <c r="J37" s="1" t="str">
        <f aca="false">IF(INDEX($I$3:$I$302,MATCH(B37,$B$3:$B$302,0))&gt;50%,"Alto valor",IF(INDEX($I$3:$I$302,MATCH(B37,$B$3:$B$302,0))&gt;=30%,"Médio valor","Baixo valor"))</f>
        <v>Médio valor</v>
      </c>
      <c r="K37" s="0" t="str">
        <f aca="false">CONCATENATE(B37,E37)</f>
        <v>F2025-04</v>
      </c>
      <c r="L37" s="1"/>
    </row>
    <row r="38" customFormat="false" ht="14.25" hidden="false" customHeight="false" outlineLevel="0" collapsed="false">
      <c r="B38" s="1" t="s">
        <v>20</v>
      </c>
      <c r="C38" s="1" t="str">
        <f aca="false">VLOOKUP(B38,Tabela4[],2,FALSE())</f>
        <v>Grande</v>
      </c>
      <c r="D38" s="5" t="str">
        <f aca="false">VLOOKUP(B38,Tabela4[],3,FALSE())</f>
        <v>Ceará</v>
      </c>
      <c r="E38" s="2" t="s">
        <v>15</v>
      </c>
      <c r="F38" s="6" t="n">
        <f aca="false">VLOOKUP($K38,'FATURAMENTO '!$A$2:$E$302,4,FALSE())</f>
        <v>43205</v>
      </c>
      <c r="G38" s="6" t="n">
        <f aca="false">VLOOKUP($K38,'FATURAMENTO '!$A$2:$E$302,5,FALSE())</f>
        <v>26285.81</v>
      </c>
      <c r="H38" s="1" t="str">
        <f aca="false">VLOOKUP($K38,CHURN!$A$2:$E$302,4,FALSE())</f>
        <v>Ativo</v>
      </c>
      <c r="I38" s="7" t="n">
        <f aca="false">(F38-G38)/F38</f>
        <v>0.391602592292559</v>
      </c>
      <c r="J38" s="1" t="str">
        <f aca="false">IF(INDEX($I$3:$I$302,MATCH(B38,$B$3:$B$302,0))&gt;50%,"Alto valor",IF(INDEX($I$3:$I$302,MATCH(B38,$B$3:$B$302,0))&gt;=30%,"Médio valor","Baixo valor"))</f>
        <v>Médio valor</v>
      </c>
      <c r="K38" s="0" t="str">
        <f aca="false">CONCATENATE(B38,E38)</f>
        <v>F2025-05</v>
      </c>
      <c r="L38" s="1"/>
    </row>
    <row r="39" customFormat="false" ht="14.25" hidden="false" customHeight="false" outlineLevel="0" collapsed="false">
      <c r="B39" s="1" t="s">
        <v>21</v>
      </c>
      <c r="C39" s="1" t="str">
        <f aca="false">VLOOKUP(B39,Tabela4[],2,FALSE())</f>
        <v>Média</v>
      </c>
      <c r="D39" s="5" t="str">
        <f aca="false">VLOOKUP(B39,Tabela4[],3,FALSE())</f>
        <v>Minas Gerais</v>
      </c>
      <c r="E39" s="2" t="s">
        <v>10</v>
      </c>
      <c r="F39" s="6" t="n">
        <f aca="false">VLOOKUP($K39,'FATURAMENTO '!$A$2:$E$302,4,FALSE())</f>
        <v>45635</v>
      </c>
      <c r="G39" s="6" t="n">
        <f aca="false">VLOOKUP($K39,'FATURAMENTO '!$A$2:$E$302,5,FALSE())</f>
        <v>23769.57</v>
      </c>
      <c r="H39" s="1" t="str">
        <f aca="false">VLOOKUP($K39,CHURN!$A$2:$E$302,4,FALSE())</f>
        <v>Cancelado</v>
      </c>
      <c r="I39" s="7" t="n">
        <f aca="false">(F39-G39)/F39</f>
        <v>0.479137284978635</v>
      </c>
      <c r="J39" s="1" t="str">
        <f aca="false">IF(INDEX($I$3:$I$302,MATCH(B39,$B$3:$B$302,0))&gt;50%,"Alto valor",IF(INDEX($I$3:$I$302,MATCH(B39,$B$3:$B$302,0))&gt;=30%,"Médio valor","Baixo valor"))</f>
        <v>Médio valor</v>
      </c>
      <c r="K39" s="0" t="str">
        <f aca="false">CONCATENATE(B39,E39)</f>
        <v>G2024-12</v>
      </c>
      <c r="L39" s="1"/>
    </row>
    <row r="40" customFormat="false" ht="14.25" hidden="false" customHeight="false" outlineLevel="0" collapsed="false">
      <c r="B40" s="1" t="s">
        <v>21</v>
      </c>
      <c r="C40" s="1" t="str">
        <f aca="false">VLOOKUP(B40,Tabela4[],2,FALSE())</f>
        <v>Média</v>
      </c>
      <c r="D40" s="5" t="str">
        <f aca="false">VLOOKUP(B40,Tabela4[],3,FALSE())</f>
        <v>Minas Gerais</v>
      </c>
      <c r="E40" s="2" t="s">
        <v>11</v>
      </c>
      <c r="F40" s="6" t="n">
        <f aca="false">VLOOKUP($K40,'FATURAMENTO '!$A$2:$E$302,4,FALSE())</f>
        <v>34170</v>
      </c>
      <c r="G40" s="6" t="n">
        <f aca="false">VLOOKUP($K40,'FATURAMENTO '!$A$2:$E$302,5,FALSE())</f>
        <v>20568.41</v>
      </c>
      <c r="H40" s="1" t="str">
        <f aca="false">VLOOKUP($K40,CHURN!$A$2:$E$302,4,FALSE())</f>
        <v>Ativo</v>
      </c>
      <c r="I40" s="7" t="n">
        <f aca="false">(F40-G40)/F40</f>
        <v>0.39805648229441</v>
      </c>
      <c r="J40" s="1" t="str">
        <f aca="false">IF(INDEX($I$3:$I$302,MATCH(B40,$B$3:$B$302,0))&gt;50%,"Alto valor",IF(INDEX($I$3:$I$302,MATCH(B40,$B$3:$B$302,0))&gt;=30%,"Médio valor","Baixo valor"))</f>
        <v>Médio valor</v>
      </c>
      <c r="K40" s="0" t="str">
        <f aca="false">CONCATENATE(B40,E40)</f>
        <v>G2025-01</v>
      </c>
      <c r="L40" s="1"/>
    </row>
    <row r="41" customFormat="false" ht="14.25" hidden="false" customHeight="false" outlineLevel="0" collapsed="false">
      <c r="B41" s="1" t="s">
        <v>21</v>
      </c>
      <c r="C41" s="1" t="str">
        <f aca="false">VLOOKUP(B41,Tabela4[],2,FALSE())</f>
        <v>Média</v>
      </c>
      <c r="D41" s="5" t="str">
        <f aca="false">VLOOKUP(B41,Tabela4[],3,FALSE())</f>
        <v>Minas Gerais</v>
      </c>
      <c r="E41" s="2" t="s">
        <v>12</v>
      </c>
      <c r="F41" s="6" t="n">
        <f aca="false">VLOOKUP($K41,'FATURAMENTO '!$A$2:$E$302,4,FALSE())</f>
        <v>17007</v>
      </c>
      <c r="G41" s="6" t="n">
        <f aca="false">VLOOKUP($K41,'FATURAMENTO '!$A$2:$E$302,5,FALSE())</f>
        <v>9132.8</v>
      </c>
      <c r="H41" s="1" t="str">
        <f aca="false">VLOOKUP($K41,CHURN!$A$2:$E$302,4,FALSE())</f>
        <v>Ativo</v>
      </c>
      <c r="I41" s="7" t="n">
        <f aca="false">(F41-G41)/F41</f>
        <v>0.462997589227965</v>
      </c>
      <c r="J41" s="1" t="str">
        <f aca="false">IF(INDEX($I$3:$I$302,MATCH(B41,$B$3:$B$302,0))&gt;50%,"Alto valor",IF(INDEX($I$3:$I$302,MATCH(B41,$B$3:$B$302,0))&gt;=30%,"Médio valor","Baixo valor"))</f>
        <v>Médio valor</v>
      </c>
      <c r="K41" s="0" t="str">
        <f aca="false">CONCATENATE(B41,E41)</f>
        <v>G2025-02</v>
      </c>
      <c r="L41" s="1"/>
    </row>
    <row r="42" customFormat="false" ht="14.25" hidden="false" customHeight="false" outlineLevel="0" collapsed="false">
      <c r="B42" s="1" t="s">
        <v>21</v>
      </c>
      <c r="C42" s="1" t="str">
        <f aca="false">VLOOKUP(B42,Tabela4[],2,FALSE())</f>
        <v>Média</v>
      </c>
      <c r="D42" s="5" t="str">
        <f aca="false">VLOOKUP(B42,Tabela4[],3,FALSE())</f>
        <v>Minas Gerais</v>
      </c>
      <c r="E42" s="2" t="s">
        <v>13</v>
      </c>
      <c r="F42" s="6" t="n">
        <f aca="false">VLOOKUP($K42,'FATURAMENTO '!$A$2:$E$302,4,FALSE())</f>
        <v>3752</v>
      </c>
      <c r="G42" s="6" t="n">
        <f aca="false">VLOOKUP($K42,'FATURAMENTO '!$A$2:$E$302,5,FALSE())</f>
        <v>2728.99</v>
      </c>
      <c r="H42" s="1" t="str">
        <f aca="false">VLOOKUP($K42,CHURN!$A$2:$E$302,4,FALSE())</f>
        <v>Ativo</v>
      </c>
      <c r="I42" s="7" t="n">
        <f aca="false">(F42-G42)/F42</f>
        <v>0.272657249466951</v>
      </c>
      <c r="J42" s="1" t="str">
        <f aca="false">IF(INDEX($I$3:$I$302,MATCH(B42,$B$3:$B$302,0))&gt;50%,"Alto valor",IF(INDEX($I$3:$I$302,MATCH(B42,$B$3:$B$302,0))&gt;=30%,"Médio valor","Baixo valor"))</f>
        <v>Médio valor</v>
      </c>
      <c r="K42" s="0" t="str">
        <f aca="false">CONCATENATE(B42,E42)</f>
        <v>G2025-03</v>
      </c>
      <c r="L42" s="1"/>
    </row>
    <row r="43" customFormat="false" ht="14.25" hidden="false" customHeight="false" outlineLevel="0" collapsed="false">
      <c r="B43" s="1" t="s">
        <v>21</v>
      </c>
      <c r="C43" s="1" t="str">
        <f aca="false">VLOOKUP(B43,Tabela4[],2,FALSE())</f>
        <v>Média</v>
      </c>
      <c r="D43" s="5" t="str">
        <f aca="false">VLOOKUP(B43,Tabela4[],3,FALSE())</f>
        <v>Minas Gerais</v>
      </c>
      <c r="E43" s="2" t="s">
        <v>14</v>
      </c>
      <c r="F43" s="6" t="n">
        <f aca="false">VLOOKUP($K43,'FATURAMENTO '!$A$2:$E$302,4,FALSE())</f>
        <v>48439</v>
      </c>
      <c r="G43" s="6" t="n">
        <f aca="false">VLOOKUP($K43,'FATURAMENTO '!$A$2:$E$302,5,FALSE())</f>
        <v>30513.5</v>
      </c>
      <c r="H43" s="1" t="str">
        <f aca="false">VLOOKUP($K43,CHURN!$A$2:$E$302,4,FALSE())</f>
        <v>Ativo</v>
      </c>
      <c r="I43" s="7" t="n">
        <f aca="false">(F43-G43)/F43</f>
        <v>0.370063378682467</v>
      </c>
      <c r="J43" s="1" t="str">
        <f aca="false">IF(INDEX($I$3:$I$302,MATCH(B43,$B$3:$B$302,0))&gt;50%,"Alto valor",IF(INDEX($I$3:$I$302,MATCH(B43,$B$3:$B$302,0))&gt;=30%,"Médio valor","Baixo valor"))</f>
        <v>Médio valor</v>
      </c>
      <c r="K43" s="0" t="str">
        <f aca="false">CONCATENATE(B43,E43)</f>
        <v>G2025-04</v>
      </c>
      <c r="L43" s="1"/>
    </row>
    <row r="44" customFormat="false" ht="14.25" hidden="false" customHeight="false" outlineLevel="0" collapsed="false">
      <c r="B44" s="1" t="s">
        <v>21</v>
      </c>
      <c r="C44" s="1" t="str">
        <f aca="false">VLOOKUP(B44,Tabela4[],2,FALSE())</f>
        <v>Média</v>
      </c>
      <c r="D44" s="5" t="str">
        <f aca="false">VLOOKUP(B44,Tabela4[],3,FALSE())</f>
        <v>Minas Gerais</v>
      </c>
      <c r="E44" s="2" t="s">
        <v>15</v>
      </c>
      <c r="F44" s="6" t="n">
        <f aca="false">VLOOKUP($K44,'FATURAMENTO '!$A$2:$E$302,4,FALSE())</f>
        <v>15933</v>
      </c>
      <c r="G44" s="6" t="n">
        <f aca="false">VLOOKUP($K44,'FATURAMENTO '!$A$2:$E$302,5,FALSE())</f>
        <v>10546.55</v>
      </c>
      <c r="H44" s="1" t="str">
        <f aca="false">VLOOKUP($K44,CHURN!$A$2:$E$302,4,FALSE())</f>
        <v>Cancelado</v>
      </c>
      <c r="I44" s="7" t="n">
        <f aca="false">(F44-G44)/F44</f>
        <v>0.338068788049959</v>
      </c>
      <c r="J44" s="1" t="str">
        <f aca="false">IF(INDEX($I$3:$I$302,MATCH(B44,$B$3:$B$302,0))&gt;50%,"Alto valor",IF(INDEX($I$3:$I$302,MATCH(B44,$B$3:$B$302,0))&gt;=30%,"Médio valor","Baixo valor"))</f>
        <v>Médio valor</v>
      </c>
      <c r="K44" s="0" t="str">
        <f aca="false">CONCATENATE(B44,E44)</f>
        <v>G2025-05</v>
      </c>
      <c r="L44" s="1"/>
    </row>
    <row r="45" customFormat="false" ht="14.25" hidden="false" customHeight="false" outlineLevel="0" collapsed="false">
      <c r="B45" s="1" t="s">
        <v>22</v>
      </c>
      <c r="C45" s="1" t="str">
        <f aca="false">VLOOKUP(B45,Tabela4[],2,FALSE())</f>
        <v>Grande</v>
      </c>
      <c r="D45" s="5" t="str">
        <f aca="false">VLOOKUP(B45,Tabela4[],3,FALSE())</f>
        <v>Pernambuco</v>
      </c>
      <c r="E45" s="2" t="s">
        <v>10</v>
      </c>
      <c r="F45" s="6" t="n">
        <f aca="false">VLOOKUP($K45,'FATURAMENTO '!$A$2:$E$302,4,FALSE())</f>
        <v>13988</v>
      </c>
      <c r="G45" s="6" t="n">
        <f aca="false">VLOOKUP($K45,'FATURAMENTO '!$A$2:$E$302,5,FALSE())</f>
        <v>7546.88</v>
      </c>
      <c r="H45" s="1" t="str">
        <f aca="false">VLOOKUP($K45,CHURN!$A$2:$E$302,4,FALSE())</f>
        <v>Ativo</v>
      </c>
      <c r="I45" s="7" t="n">
        <f aca="false">(F45-G45)/F45</f>
        <v>0.460474692593652</v>
      </c>
      <c r="J45" s="1" t="str">
        <f aca="false">IF(INDEX($I$3:$I$302,MATCH(B45,$B$3:$B$302,0))&gt;50%,"Alto valor",IF(INDEX($I$3:$I$302,MATCH(B45,$B$3:$B$302,0))&gt;=30%,"Médio valor","Baixo valor"))</f>
        <v>Médio valor</v>
      </c>
      <c r="K45" s="0" t="str">
        <f aca="false">CONCATENATE(B45,E45)</f>
        <v>H2024-12</v>
      </c>
      <c r="L45" s="1"/>
    </row>
    <row r="46" customFormat="false" ht="14.25" hidden="false" customHeight="false" outlineLevel="0" collapsed="false">
      <c r="B46" s="1" t="s">
        <v>22</v>
      </c>
      <c r="C46" s="1" t="str">
        <f aca="false">VLOOKUP(B46,Tabela4[],2,FALSE())</f>
        <v>Grande</v>
      </c>
      <c r="D46" s="5" t="str">
        <f aca="false">VLOOKUP(B46,Tabela4[],3,FALSE())</f>
        <v>Pernambuco</v>
      </c>
      <c r="E46" s="2" t="s">
        <v>11</v>
      </c>
      <c r="F46" s="6" t="n">
        <f aca="false">VLOOKUP($K46,'FATURAMENTO '!$A$2:$E$302,4,FALSE())</f>
        <v>44154</v>
      </c>
      <c r="G46" s="6" t="n">
        <f aca="false">VLOOKUP($K46,'FATURAMENTO '!$A$2:$E$302,5,FALSE())</f>
        <v>31626.3</v>
      </c>
      <c r="H46" s="1" t="str">
        <f aca="false">VLOOKUP($K46,CHURN!$A$2:$E$302,4,FALSE())</f>
        <v>Ativo</v>
      </c>
      <c r="I46" s="7" t="n">
        <f aca="false">(F46-G46)/F46</f>
        <v>0.283727408615301</v>
      </c>
      <c r="J46" s="1" t="str">
        <f aca="false">IF(INDEX($I$3:$I$302,MATCH(B46,$B$3:$B$302,0))&gt;50%,"Alto valor",IF(INDEX($I$3:$I$302,MATCH(B46,$B$3:$B$302,0))&gt;=30%,"Médio valor","Baixo valor"))</f>
        <v>Médio valor</v>
      </c>
      <c r="K46" s="0" t="str">
        <f aca="false">CONCATENATE(B46,E46)</f>
        <v>H2025-01</v>
      </c>
      <c r="L46" s="1"/>
    </row>
    <row r="47" customFormat="false" ht="14.25" hidden="false" customHeight="false" outlineLevel="0" collapsed="false">
      <c r="B47" s="1" t="s">
        <v>22</v>
      </c>
      <c r="C47" s="1" t="str">
        <f aca="false">VLOOKUP(B47,Tabela4[],2,FALSE())</f>
        <v>Grande</v>
      </c>
      <c r="D47" s="5" t="str">
        <f aca="false">VLOOKUP(B47,Tabela4[],3,FALSE())</f>
        <v>Pernambuco</v>
      </c>
      <c r="E47" s="2" t="s">
        <v>12</v>
      </c>
      <c r="F47" s="6" t="n">
        <f aca="false">VLOOKUP($K47,'FATURAMENTO '!$A$2:$E$302,4,FALSE())</f>
        <v>13742</v>
      </c>
      <c r="G47" s="6" t="n">
        <f aca="false">VLOOKUP($K47,'FATURAMENTO '!$A$2:$E$302,5,FALSE())</f>
        <v>10808.71</v>
      </c>
      <c r="H47" s="1" t="str">
        <f aca="false">VLOOKUP($K47,CHURN!$A$2:$E$302,4,FALSE())</f>
        <v>Cancelado</v>
      </c>
      <c r="I47" s="7" t="n">
        <f aca="false">(F47-G47)/F47</f>
        <v>0.213454373453646</v>
      </c>
      <c r="J47" s="1" t="str">
        <f aca="false">IF(INDEX($I$3:$I$302,MATCH(B47,$B$3:$B$302,0))&gt;50%,"Alto valor",IF(INDEX($I$3:$I$302,MATCH(B47,$B$3:$B$302,0))&gt;=30%,"Médio valor","Baixo valor"))</f>
        <v>Médio valor</v>
      </c>
      <c r="K47" s="0" t="str">
        <f aca="false">CONCATENATE(B47,E47)</f>
        <v>H2025-02</v>
      </c>
      <c r="L47" s="1"/>
    </row>
    <row r="48" customFormat="false" ht="14.25" hidden="false" customHeight="false" outlineLevel="0" collapsed="false">
      <c r="B48" s="1" t="s">
        <v>22</v>
      </c>
      <c r="C48" s="1" t="str">
        <f aca="false">VLOOKUP(B48,Tabela4[],2,FALSE())</f>
        <v>Grande</v>
      </c>
      <c r="D48" s="5" t="str">
        <f aca="false">VLOOKUP(B48,Tabela4[],3,FALSE())</f>
        <v>Pernambuco</v>
      </c>
      <c r="E48" s="2" t="s">
        <v>13</v>
      </c>
      <c r="F48" s="6" t="n">
        <f aca="false">VLOOKUP($K48,'FATURAMENTO '!$A$2:$E$302,4,FALSE())</f>
        <v>4330</v>
      </c>
      <c r="G48" s="6" t="n">
        <f aca="false">VLOOKUP($K48,'FATURAMENTO '!$A$2:$E$302,5,FALSE())</f>
        <v>3126.91</v>
      </c>
      <c r="H48" s="1" t="str">
        <f aca="false">VLOOKUP($K48,CHURN!$A$2:$E$302,4,FALSE())</f>
        <v>Ativo</v>
      </c>
      <c r="I48" s="7" t="n">
        <f aca="false">(F48-G48)/F48</f>
        <v>0.277849884526559</v>
      </c>
      <c r="J48" s="1" t="str">
        <f aca="false">IF(INDEX($I$3:$I$302,MATCH(B48,$B$3:$B$302,0))&gt;50%,"Alto valor",IF(INDEX($I$3:$I$302,MATCH(B48,$B$3:$B$302,0))&gt;=30%,"Médio valor","Baixo valor"))</f>
        <v>Médio valor</v>
      </c>
      <c r="K48" s="0" t="str">
        <f aca="false">CONCATENATE(B48,E48)</f>
        <v>H2025-03</v>
      </c>
      <c r="L48" s="1"/>
    </row>
    <row r="49" customFormat="false" ht="14.25" hidden="false" customHeight="false" outlineLevel="0" collapsed="false">
      <c r="B49" s="1" t="s">
        <v>22</v>
      </c>
      <c r="C49" s="1" t="str">
        <f aca="false">VLOOKUP(B49,Tabela4[],2,FALSE())</f>
        <v>Grande</v>
      </c>
      <c r="D49" s="5" t="str">
        <f aca="false">VLOOKUP(B49,Tabela4[],3,FALSE())</f>
        <v>Pernambuco</v>
      </c>
      <c r="E49" s="2" t="s">
        <v>14</v>
      </c>
      <c r="F49" s="6" t="n">
        <f aca="false">VLOOKUP($K49,'FATURAMENTO '!$A$2:$E$302,4,FALSE())</f>
        <v>3283</v>
      </c>
      <c r="G49" s="6" t="n">
        <f aca="false">VLOOKUP($K49,'FATURAMENTO '!$A$2:$E$302,5,FALSE())</f>
        <v>2182.11</v>
      </c>
      <c r="H49" s="1" t="str">
        <f aca="false">VLOOKUP($K49,CHURN!$A$2:$E$302,4,FALSE())</f>
        <v>Ativo</v>
      </c>
      <c r="I49" s="7" t="n">
        <f aca="false">(F49-G49)/F49</f>
        <v>0.335330490405117</v>
      </c>
      <c r="J49" s="1" t="str">
        <f aca="false">IF(INDEX($I$3:$I$302,MATCH(B49,$B$3:$B$302,0))&gt;50%,"Alto valor",IF(INDEX($I$3:$I$302,MATCH(B49,$B$3:$B$302,0))&gt;=30%,"Médio valor","Baixo valor"))</f>
        <v>Médio valor</v>
      </c>
      <c r="K49" s="0" t="str">
        <f aca="false">CONCATENATE(B49,E49)</f>
        <v>H2025-04</v>
      </c>
      <c r="L49" s="1"/>
    </row>
    <row r="50" customFormat="false" ht="14.25" hidden="false" customHeight="false" outlineLevel="0" collapsed="false">
      <c r="B50" s="1" t="s">
        <v>22</v>
      </c>
      <c r="C50" s="1" t="str">
        <f aca="false">VLOOKUP(B50,Tabela4[],2,FALSE())</f>
        <v>Grande</v>
      </c>
      <c r="D50" s="5" t="str">
        <f aca="false">VLOOKUP(B50,Tabela4[],3,FALSE())</f>
        <v>Pernambuco</v>
      </c>
      <c r="E50" s="2" t="s">
        <v>15</v>
      </c>
      <c r="F50" s="6" t="n">
        <f aca="false">VLOOKUP($K50,'FATURAMENTO '!$A$2:$E$302,4,FALSE())</f>
        <v>2099</v>
      </c>
      <c r="G50" s="6" t="n">
        <f aca="false">VLOOKUP($K50,'FATURAMENTO '!$A$2:$E$302,5,FALSE())</f>
        <v>1159.38</v>
      </c>
      <c r="H50" s="1" t="str">
        <f aca="false">VLOOKUP($K50,CHURN!$A$2:$E$302,4,FALSE())</f>
        <v>Ativo</v>
      </c>
      <c r="I50" s="7" t="n">
        <f aca="false">(F50-G50)/F50</f>
        <v>0.447651262505955</v>
      </c>
      <c r="J50" s="1" t="str">
        <f aca="false">IF(INDEX($I$3:$I$302,MATCH(B50,$B$3:$B$302,0))&gt;50%,"Alto valor",IF(INDEX($I$3:$I$302,MATCH(B50,$B$3:$B$302,0))&gt;=30%,"Médio valor","Baixo valor"))</f>
        <v>Médio valor</v>
      </c>
      <c r="K50" s="0" t="str">
        <f aca="false">CONCATENATE(B50,E50)</f>
        <v>H2025-05</v>
      </c>
      <c r="L50" s="1"/>
    </row>
    <row r="51" customFormat="false" ht="14.25" hidden="false" customHeight="false" outlineLevel="0" collapsed="false">
      <c r="B51" s="1" t="s">
        <v>23</v>
      </c>
      <c r="C51" s="1" t="str">
        <f aca="false">VLOOKUP(B51,Tabela4[],2,FALSE())</f>
        <v>Média</v>
      </c>
      <c r="D51" s="5" t="str">
        <f aca="false">VLOOKUP(B51,Tabela4[],3,FALSE())</f>
        <v>Minas Gerais</v>
      </c>
      <c r="E51" s="2" t="s">
        <v>10</v>
      </c>
      <c r="F51" s="6" t="n">
        <f aca="false">VLOOKUP($K51,'FATURAMENTO '!$A$2:$E$302,4,FALSE())</f>
        <v>35899</v>
      </c>
      <c r="G51" s="6" t="n">
        <f aca="false">VLOOKUP($K51,'FATURAMENTO '!$A$2:$E$302,5,FALSE())</f>
        <v>27541.15</v>
      </c>
      <c r="H51" s="1" t="str">
        <f aca="false">VLOOKUP($K51,CHURN!$A$2:$E$302,4,FALSE())</f>
        <v>Cancelado</v>
      </c>
      <c r="I51" s="7" t="n">
        <f aca="false">(F51-G51)/F51</f>
        <v>0.232815677316917</v>
      </c>
      <c r="J51" s="1" t="str">
        <f aca="false">IF(INDEX($I$3:$I$302,MATCH(B51,$B$3:$B$302,0))&gt;50%,"Alto valor",IF(INDEX($I$3:$I$302,MATCH(B51,$B$3:$B$302,0))&gt;=30%,"Médio valor","Baixo valor"))</f>
        <v>Baixo valor</v>
      </c>
      <c r="K51" s="0" t="str">
        <f aca="false">CONCATENATE(B51,E51)</f>
        <v>I2024-12</v>
      </c>
      <c r="L51" s="1"/>
    </row>
    <row r="52" customFormat="false" ht="14.25" hidden="false" customHeight="false" outlineLevel="0" collapsed="false">
      <c r="B52" s="1" t="s">
        <v>23</v>
      </c>
      <c r="C52" s="1" t="str">
        <f aca="false">VLOOKUP(B52,Tabela4[],2,FALSE())</f>
        <v>Média</v>
      </c>
      <c r="D52" s="5" t="str">
        <f aca="false">VLOOKUP(B52,Tabela4[],3,FALSE())</f>
        <v>Minas Gerais</v>
      </c>
      <c r="E52" s="2" t="s">
        <v>11</v>
      </c>
      <c r="F52" s="6" t="n">
        <f aca="false">VLOOKUP($K52,'FATURAMENTO '!$A$2:$E$302,4,FALSE())</f>
        <v>11979</v>
      </c>
      <c r="G52" s="6" t="n">
        <f aca="false">VLOOKUP($K52,'FATURAMENTO '!$A$2:$E$302,5,FALSE())</f>
        <v>8368.92</v>
      </c>
      <c r="H52" s="1" t="str">
        <f aca="false">VLOOKUP($K52,CHURN!$A$2:$E$302,4,FALSE())</f>
        <v>Cancelado</v>
      </c>
      <c r="I52" s="7" t="n">
        <f aca="false">(F52-G52)/F52</f>
        <v>0.301367392937641</v>
      </c>
      <c r="J52" s="1" t="str">
        <f aca="false">IF(INDEX($I$3:$I$302,MATCH(B52,$B$3:$B$302,0))&gt;50%,"Alto valor",IF(INDEX($I$3:$I$302,MATCH(B52,$B$3:$B$302,0))&gt;=30%,"Médio valor","Baixo valor"))</f>
        <v>Baixo valor</v>
      </c>
      <c r="K52" s="0" t="str">
        <f aca="false">CONCATENATE(B52,E52)</f>
        <v>I2025-01</v>
      </c>
      <c r="L52" s="1"/>
    </row>
    <row r="53" customFormat="false" ht="14.25" hidden="false" customHeight="false" outlineLevel="0" collapsed="false">
      <c r="B53" s="1" t="s">
        <v>23</v>
      </c>
      <c r="C53" s="1" t="str">
        <f aca="false">VLOOKUP(B53,Tabela4[],2,FALSE())</f>
        <v>Média</v>
      </c>
      <c r="D53" s="5" t="str">
        <f aca="false">VLOOKUP(B53,Tabela4[],3,FALSE())</f>
        <v>Minas Gerais</v>
      </c>
      <c r="E53" s="2" t="s">
        <v>12</v>
      </c>
      <c r="F53" s="6" t="n">
        <f aca="false">VLOOKUP($K53,'FATURAMENTO '!$A$2:$E$302,4,FALSE())</f>
        <v>30856</v>
      </c>
      <c r="G53" s="6" t="n">
        <f aca="false">VLOOKUP($K53,'FATURAMENTO '!$A$2:$E$302,5,FALSE())</f>
        <v>17932.58</v>
      </c>
      <c r="H53" s="1" t="str">
        <f aca="false">VLOOKUP($K53,CHURN!$A$2:$E$302,4,FALSE())</f>
        <v>Cancelado</v>
      </c>
      <c r="I53" s="7" t="n">
        <f aca="false">(F53-G53)/F53</f>
        <v>0.418830049261084</v>
      </c>
      <c r="J53" s="1" t="str">
        <f aca="false">IF(INDEX($I$3:$I$302,MATCH(B53,$B$3:$B$302,0))&gt;50%,"Alto valor",IF(INDEX($I$3:$I$302,MATCH(B53,$B$3:$B$302,0))&gt;=30%,"Médio valor","Baixo valor"))</f>
        <v>Baixo valor</v>
      </c>
      <c r="K53" s="0" t="str">
        <f aca="false">CONCATENATE(B53,E53)</f>
        <v>I2025-02</v>
      </c>
      <c r="L53" s="1"/>
    </row>
    <row r="54" customFormat="false" ht="14.25" hidden="false" customHeight="false" outlineLevel="0" collapsed="false">
      <c r="B54" s="1" t="s">
        <v>23</v>
      </c>
      <c r="C54" s="1" t="str">
        <f aca="false">VLOOKUP(B54,Tabela4[],2,FALSE())</f>
        <v>Média</v>
      </c>
      <c r="D54" s="5" t="str">
        <f aca="false">VLOOKUP(B54,Tabela4[],3,FALSE())</f>
        <v>Minas Gerais</v>
      </c>
      <c r="E54" s="2" t="s">
        <v>13</v>
      </c>
      <c r="F54" s="6" t="n">
        <f aca="false">VLOOKUP($K54,'FATURAMENTO '!$A$2:$E$302,4,FALSE())</f>
        <v>12397</v>
      </c>
      <c r="G54" s="6" t="n">
        <f aca="false">VLOOKUP($K54,'FATURAMENTO '!$A$2:$E$302,5,FALSE())</f>
        <v>6975.21</v>
      </c>
      <c r="H54" s="1" t="str">
        <f aca="false">VLOOKUP($K54,CHURN!$A$2:$E$302,4,FALSE())</f>
        <v>Ativo</v>
      </c>
      <c r="I54" s="7" t="n">
        <f aca="false">(F54-G54)/F54</f>
        <v>0.43734693877551</v>
      </c>
      <c r="J54" s="1" t="str">
        <f aca="false">IF(INDEX($I$3:$I$302,MATCH(B54,$B$3:$B$302,0))&gt;50%,"Alto valor",IF(INDEX($I$3:$I$302,MATCH(B54,$B$3:$B$302,0))&gt;=30%,"Médio valor","Baixo valor"))</f>
        <v>Baixo valor</v>
      </c>
      <c r="K54" s="0" t="str">
        <f aca="false">CONCATENATE(B54,E54)</f>
        <v>I2025-03</v>
      </c>
      <c r="L54" s="1"/>
    </row>
    <row r="55" customFormat="false" ht="14.25" hidden="false" customHeight="false" outlineLevel="0" collapsed="false">
      <c r="B55" s="1" t="s">
        <v>23</v>
      </c>
      <c r="C55" s="1" t="str">
        <f aca="false">VLOOKUP(B55,Tabela4[],2,FALSE())</f>
        <v>Média</v>
      </c>
      <c r="D55" s="5" t="str">
        <f aca="false">VLOOKUP(B55,Tabela4[],3,FALSE())</f>
        <v>Minas Gerais</v>
      </c>
      <c r="E55" s="2" t="s">
        <v>14</v>
      </c>
      <c r="F55" s="6" t="n">
        <f aca="false">VLOOKUP($K55,'FATURAMENTO '!$A$2:$E$302,4,FALSE())</f>
        <v>35361</v>
      </c>
      <c r="G55" s="6" t="n">
        <f aca="false">VLOOKUP($K55,'FATURAMENTO '!$A$2:$E$302,5,FALSE())</f>
        <v>22507.87</v>
      </c>
      <c r="H55" s="1" t="str">
        <f aca="false">VLOOKUP($K55,CHURN!$A$2:$E$302,4,FALSE())</f>
        <v>Cancelado</v>
      </c>
      <c r="I55" s="7" t="n">
        <f aca="false">(F55-G55)/F55</f>
        <v>0.363483215972399</v>
      </c>
      <c r="J55" s="1" t="str">
        <f aca="false">IF(INDEX($I$3:$I$302,MATCH(B55,$B$3:$B$302,0))&gt;50%,"Alto valor",IF(INDEX($I$3:$I$302,MATCH(B55,$B$3:$B$302,0))&gt;=30%,"Médio valor","Baixo valor"))</f>
        <v>Baixo valor</v>
      </c>
      <c r="K55" s="0" t="str">
        <f aca="false">CONCATENATE(B55,E55)</f>
        <v>I2025-04</v>
      </c>
      <c r="L55" s="1"/>
    </row>
    <row r="56" customFormat="false" ht="14.25" hidden="false" customHeight="false" outlineLevel="0" collapsed="false">
      <c r="B56" s="1" t="s">
        <v>23</v>
      </c>
      <c r="C56" s="1" t="str">
        <f aca="false">VLOOKUP(B56,Tabela4[],2,FALSE())</f>
        <v>Média</v>
      </c>
      <c r="D56" s="5" t="str">
        <f aca="false">VLOOKUP(B56,Tabela4[],3,FALSE())</f>
        <v>Minas Gerais</v>
      </c>
      <c r="E56" s="2" t="s">
        <v>15</v>
      </c>
      <c r="F56" s="6" t="n">
        <f aca="false">VLOOKUP($K56,'FATURAMENTO '!$A$2:$E$302,4,FALSE())</f>
        <v>13005</v>
      </c>
      <c r="G56" s="6" t="n">
        <f aca="false">VLOOKUP($K56,'FATURAMENTO '!$A$2:$E$302,5,FALSE())</f>
        <v>10246.04</v>
      </c>
      <c r="H56" s="1" t="str">
        <f aca="false">VLOOKUP($K56,CHURN!$A$2:$E$302,4,FALSE())</f>
        <v>Cancelado</v>
      </c>
      <c r="I56" s="7" t="n">
        <f aca="false">(F56-G56)/F56</f>
        <v>0.212146097654748</v>
      </c>
      <c r="J56" s="1" t="str">
        <f aca="false">IF(INDEX($I$3:$I$302,MATCH(B56,$B$3:$B$302,0))&gt;50%,"Alto valor",IF(INDEX($I$3:$I$302,MATCH(B56,$B$3:$B$302,0))&gt;=30%,"Médio valor","Baixo valor"))</f>
        <v>Baixo valor</v>
      </c>
      <c r="K56" s="0" t="str">
        <f aca="false">CONCATENATE(B56,E56)</f>
        <v>I2025-05</v>
      </c>
      <c r="L56" s="1"/>
    </row>
    <row r="57" customFormat="false" ht="14.25" hidden="false" customHeight="false" outlineLevel="0" collapsed="false">
      <c r="B57" s="1" t="s">
        <v>24</v>
      </c>
      <c r="C57" s="1" t="str">
        <f aca="false">VLOOKUP(B57,Tabela4[],2,FALSE())</f>
        <v>Grande</v>
      </c>
      <c r="D57" s="5" t="str">
        <f aca="false">VLOOKUP(B57,Tabela4[],3,FALSE())</f>
        <v>Bahia</v>
      </c>
      <c r="E57" s="2" t="s">
        <v>10</v>
      </c>
      <c r="F57" s="6" t="n">
        <f aca="false">VLOOKUP($K57,'FATURAMENTO '!$A$2:$E$302,4,FALSE())</f>
        <v>19081</v>
      </c>
      <c r="G57" s="6" t="n">
        <f aca="false">VLOOKUP($K57,'FATURAMENTO '!$A$2:$E$302,5,FALSE())</f>
        <v>14472.79</v>
      </c>
      <c r="H57" s="1" t="str">
        <f aca="false">VLOOKUP($K57,CHURN!$A$2:$E$302,4,FALSE())</f>
        <v>Ativo</v>
      </c>
      <c r="I57" s="7" t="n">
        <f aca="false">(F57-G57)/F57</f>
        <v>0.241507782610974</v>
      </c>
      <c r="J57" s="1" t="str">
        <f aca="false">IF(INDEX($I$3:$I$302,MATCH(B57,$B$3:$B$302,0))&gt;50%,"Alto valor",IF(INDEX($I$3:$I$302,MATCH(B57,$B$3:$B$302,0))&gt;=30%,"Médio valor","Baixo valor"))</f>
        <v>Baixo valor</v>
      </c>
      <c r="K57" s="0" t="str">
        <f aca="false">CONCATENATE(B57,E57)</f>
        <v>J2024-12</v>
      </c>
      <c r="L57" s="1"/>
    </row>
    <row r="58" customFormat="false" ht="14.25" hidden="false" customHeight="false" outlineLevel="0" collapsed="false">
      <c r="B58" s="1" t="s">
        <v>24</v>
      </c>
      <c r="C58" s="1" t="str">
        <f aca="false">VLOOKUP(B58,Tabela4[],2,FALSE())</f>
        <v>Grande</v>
      </c>
      <c r="D58" s="5" t="str">
        <f aca="false">VLOOKUP(B58,Tabela4[],3,FALSE())</f>
        <v>Bahia</v>
      </c>
      <c r="E58" s="2" t="s">
        <v>11</v>
      </c>
      <c r="F58" s="6" t="n">
        <f aca="false">VLOOKUP($K58,'FATURAMENTO '!$A$2:$E$302,4,FALSE())</f>
        <v>7388</v>
      </c>
      <c r="G58" s="6" t="n">
        <f aca="false">VLOOKUP($K58,'FATURAMENTO '!$A$2:$E$302,5,FALSE())</f>
        <v>4351.05</v>
      </c>
      <c r="H58" s="1" t="str">
        <f aca="false">VLOOKUP($K58,CHURN!$A$2:$E$302,4,FALSE())</f>
        <v>Ativo</v>
      </c>
      <c r="I58" s="7" t="n">
        <f aca="false">(F58-G58)/F58</f>
        <v>0.41106524093124</v>
      </c>
      <c r="J58" s="1" t="str">
        <f aca="false">IF(INDEX($I$3:$I$302,MATCH(B58,$B$3:$B$302,0))&gt;50%,"Alto valor",IF(INDEX($I$3:$I$302,MATCH(B58,$B$3:$B$302,0))&gt;=30%,"Médio valor","Baixo valor"))</f>
        <v>Baixo valor</v>
      </c>
      <c r="K58" s="0" t="str">
        <f aca="false">CONCATENATE(B58,E58)</f>
        <v>J2025-01</v>
      </c>
      <c r="L58" s="1"/>
    </row>
    <row r="59" customFormat="false" ht="14.25" hidden="false" customHeight="false" outlineLevel="0" collapsed="false">
      <c r="B59" s="1" t="s">
        <v>24</v>
      </c>
      <c r="C59" s="1" t="str">
        <f aca="false">VLOOKUP(B59,Tabela4[],2,FALSE())</f>
        <v>Grande</v>
      </c>
      <c r="D59" s="5" t="str">
        <f aca="false">VLOOKUP(B59,Tabela4[],3,FALSE())</f>
        <v>Bahia</v>
      </c>
      <c r="E59" s="2" t="s">
        <v>12</v>
      </c>
      <c r="F59" s="6" t="n">
        <f aca="false">VLOOKUP($K59,'FATURAMENTO '!$A$2:$E$302,4,FALSE())</f>
        <v>25506</v>
      </c>
      <c r="G59" s="6" t="n">
        <f aca="false">VLOOKUP($K59,'FATURAMENTO '!$A$2:$E$302,5,FALSE())</f>
        <v>19246.84</v>
      </c>
      <c r="H59" s="1" t="str">
        <f aca="false">VLOOKUP($K59,CHURN!$A$2:$E$302,4,FALSE())</f>
        <v>Ativo</v>
      </c>
      <c r="I59" s="7" t="n">
        <f aca="false">(F59-G59)/F59</f>
        <v>0.245399513839881</v>
      </c>
      <c r="J59" s="1" t="str">
        <f aca="false">IF(INDEX($I$3:$I$302,MATCH(B59,$B$3:$B$302,0))&gt;50%,"Alto valor",IF(INDEX($I$3:$I$302,MATCH(B59,$B$3:$B$302,0))&gt;=30%,"Médio valor","Baixo valor"))</f>
        <v>Baixo valor</v>
      </c>
      <c r="K59" s="0" t="str">
        <f aca="false">CONCATENATE(B59,E59)</f>
        <v>J2025-02</v>
      </c>
      <c r="L59" s="1"/>
    </row>
    <row r="60" customFormat="false" ht="14.25" hidden="false" customHeight="false" outlineLevel="0" collapsed="false">
      <c r="B60" s="1" t="s">
        <v>24</v>
      </c>
      <c r="C60" s="1" t="str">
        <f aca="false">VLOOKUP(B60,Tabela4[],2,FALSE())</f>
        <v>Grande</v>
      </c>
      <c r="D60" s="5" t="str">
        <f aca="false">VLOOKUP(B60,Tabela4[],3,FALSE())</f>
        <v>Bahia</v>
      </c>
      <c r="E60" s="2" t="s">
        <v>13</v>
      </c>
      <c r="F60" s="6" t="n">
        <f aca="false">VLOOKUP($K60,'FATURAMENTO '!$A$2:$E$302,4,FALSE())</f>
        <v>10008</v>
      </c>
      <c r="G60" s="6" t="n">
        <f aca="false">VLOOKUP($K60,'FATURAMENTO '!$A$2:$E$302,5,FALSE())</f>
        <v>5245.33</v>
      </c>
      <c r="H60" s="1" t="str">
        <f aca="false">VLOOKUP($K60,CHURN!$A$2:$E$302,4,FALSE())</f>
        <v>Ativo</v>
      </c>
      <c r="I60" s="7" t="n">
        <f aca="false">(F60-G60)/F60</f>
        <v>0.475886290967226</v>
      </c>
      <c r="J60" s="1" t="str">
        <f aca="false">IF(INDEX($I$3:$I$302,MATCH(B60,$B$3:$B$302,0))&gt;50%,"Alto valor",IF(INDEX($I$3:$I$302,MATCH(B60,$B$3:$B$302,0))&gt;=30%,"Médio valor","Baixo valor"))</f>
        <v>Baixo valor</v>
      </c>
      <c r="K60" s="0" t="str">
        <f aca="false">CONCATENATE(B60,E60)</f>
        <v>J2025-03</v>
      </c>
      <c r="L60" s="1"/>
    </row>
    <row r="61" customFormat="false" ht="14.25" hidden="false" customHeight="false" outlineLevel="0" collapsed="false">
      <c r="B61" s="1" t="s">
        <v>24</v>
      </c>
      <c r="C61" s="1" t="str">
        <f aca="false">VLOOKUP(B61,Tabela4[],2,FALSE())</f>
        <v>Grande</v>
      </c>
      <c r="D61" s="5" t="str">
        <f aca="false">VLOOKUP(B61,Tabela4[],3,FALSE())</f>
        <v>Bahia</v>
      </c>
      <c r="E61" s="2" t="s">
        <v>14</v>
      </c>
      <c r="F61" s="6" t="n">
        <f aca="false">VLOOKUP($K61,'FATURAMENTO '!$A$2:$E$302,4,FALSE())</f>
        <v>48075</v>
      </c>
      <c r="G61" s="6" t="n">
        <f aca="false">VLOOKUP($K61,'FATURAMENTO '!$A$2:$E$302,5,FALSE())</f>
        <v>30490.73</v>
      </c>
      <c r="H61" s="1" t="str">
        <f aca="false">VLOOKUP($K61,CHURN!$A$2:$E$302,4,FALSE())</f>
        <v>Ativo</v>
      </c>
      <c r="I61" s="7" t="n">
        <f aca="false">(F61-G61)/F61</f>
        <v>0.365767446697868</v>
      </c>
      <c r="J61" s="1" t="str">
        <f aca="false">IF(INDEX($I$3:$I$302,MATCH(B61,$B$3:$B$302,0))&gt;50%,"Alto valor",IF(INDEX($I$3:$I$302,MATCH(B61,$B$3:$B$302,0))&gt;=30%,"Médio valor","Baixo valor"))</f>
        <v>Baixo valor</v>
      </c>
      <c r="K61" s="0" t="str">
        <f aca="false">CONCATENATE(B61,E61)</f>
        <v>J2025-04</v>
      </c>
      <c r="L61" s="1"/>
    </row>
    <row r="62" customFormat="false" ht="14.25" hidden="false" customHeight="false" outlineLevel="0" collapsed="false">
      <c r="B62" s="1" t="s">
        <v>24</v>
      </c>
      <c r="C62" s="1" t="str">
        <f aca="false">VLOOKUP(B62,Tabela4[],2,FALSE())</f>
        <v>Grande</v>
      </c>
      <c r="D62" s="5" t="str">
        <f aca="false">VLOOKUP(B62,Tabela4[],3,FALSE())</f>
        <v>Bahia</v>
      </c>
      <c r="E62" s="2" t="s">
        <v>15</v>
      </c>
      <c r="F62" s="6" t="n">
        <f aca="false">VLOOKUP($K62,'FATURAMENTO '!$A$2:$E$302,4,FALSE())</f>
        <v>9701</v>
      </c>
      <c r="G62" s="6" t="n">
        <f aca="false">VLOOKUP($K62,'FATURAMENTO '!$A$2:$E$302,5,FALSE())</f>
        <v>6040.23</v>
      </c>
      <c r="H62" s="1" t="str">
        <f aca="false">VLOOKUP($K62,CHURN!$A$2:$E$302,4,FALSE())</f>
        <v>Ativo</v>
      </c>
      <c r="I62" s="7" t="n">
        <f aca="false">(F62-G62)/F62</f>
        <v>0.37736006597258</v>
      </c>
      <c r="J62" s="1" t="str">
        <f aca="false">IF(INDEX($I$3:$I$302,MATCH(B62,$B$3:$B$302,0))&gt;50%,"Alto valor",IF(INDEX($I$3:$I$302,MATCH(B62,$B$3:$B$302,0))&gt;=30%,"Médio valor","Baixo valor"))</f>
        <v>Baixo valor</v>
      </c>
      <c r="K62" s="0" t="str">
        <f aca="false">CONCATENATE(B62,E62)</f>
        <v>J2025-05</v>
      </c>
      <c r="L62" s="1"/>
    </row>
    <row r="63" customFormat="false" ht="14.25" hidden="false" customHeight="false" outlineLevel="0" collapsed="false">
      <c r="B63" s="1" t="s">
        <v>25</v>
      </c>
      <c r="C63" s="1" t="str">
        <f aca="false">VLOOKUP(B63,Tabela4[],2,FALSE())</f>
        <v>Pequena</v>
      </c>
      <c r="D63" s="5" t="str">
        <f aca="false">VLOOKUP(B63,Tabela4[],3,FALSE())</f>
        <v>Santa Catarina</v>
      </c>
      <c r="E63" s="2" t="s">
        <v>10</v>
      </c>
      <c r="F63" s="6" t="n">
        <f aca="false">VLOOKUP($K63,'FATURAMENTO '!$A$2:$E$302,4,FALSE())</f>
        <v>46897</v>
      </c>
      <c r="G63" s="6" t="n">
        <f aca="false">VLOOKUP($K63,'FATURAMENTO '!$A$2:$E$302,5,FALSE())</f>
        <v>27429.36</v>
      </c>
      <c r="H63" s="1" t="str">
        <f aca="false">VLOOKUP($K63,CHURN!$A$2:$E$302,4,FALSE())</f>
        <v>Ativo</v>
      </c>
      <c r="I63" s="7" t="n">
        <f aca="false">(F63-G63)/F63</f>
        <v>0.41511482610828</v>
      </c>
      <c r="J63" s="1" t="str">
        <f aca="false">IF(INDEX($I$3:$I$302,MATCH(B63,$B$3:$B$302,0))&gt;50%,"Alto valor",IF(INDEX($I$3:$I$302,MATCH(B63,$B$3:$B$302,0))&gt;=30%,"Médio valor","Baixo valor"))</f>
        <v>Médio valor</v>
      </c>
      <c r="K63" s="0" t="str">
        <f aca="false">CONCATENATE(B63,E63)</f>
        <v>K2024-12</v>
      </c>
      <c r="L63" s="1"/>
    </row>
    <row r="64" customFormat="false" ht="14.25" hidden="false" customHeight="false" outlineLevel="0" collapsed="false">
      <c r="B64" s="1" t="s">
        <v>25</v>
      </c>
      <c r="C64" s="1" t="str">
        <f aca="false">VLOOKUP(B64,Tabela4[],2,FALSE())</f>
        <v>Pequena</v>
      </c>
      <c r="D64" s="5" t="str">
        <f aca="false">VLOOKUP(B64,Tabela4[],3,FALSE())</f>
        <v>Santa Catarina</v>
      </c>
      <c r="E64" s="2" t="s">
        <v>11</v>
      </c>
      <c r="F64" s="6" t="n">
        <f aca="false">VLOOKUP($K64,'FATURAMENTO '!$A$2:$E$302,4,FALSE())</f>
        <v>47608</v>
      </c>
      <c r="G64" s="6" t="n">
        <f aca="false">VLOOKUP($K64,'FATURAMENTO '!$A$2:$E$302,5,FALSE())</f>
        <v>32658.15</v>
      </c>
      <c r="H64" s="1" t="str">
        <f aca="false">VLOOKUP($K64,CHURN!$A$2:$E$302,4,FALSE())</f>
        <v>Ativo</v>
      </c>
      <c r="I64" s="7" t="n">
        <f aca="false">(F64-G64)/F64</f>
        <v>0.314019702570996</v>
      </c>
      <c r="J64" s="1" t="str">
        <f aca="false">IF(INDEX($I$3:$I$302,MATCH(B64,$B$3:$B$302,0))&gt;50%,"Alto valor",IF(INDEX($I$3:$I$302,MATCH(B64,$B$3:$B$302,0))&gt;=30%,"Médio valor","Baixo valor"))</f>
        <v>Médio valor</v>
      </c>
      <c r="K64" s="0" t="str">
        <f aca="false">CONCATENATE(B64,E64)</f>
        <v>K2025-01</v>
      </c>
      <c r="L64" s="1"/>
    </row>
    <row r="65" customFormat="false" ht="14.25" hidden="false" customHeight="false" outlineLevel="0" collapsed="false">
      <c r="B65" s="1" t="s">
        <v>25</v>
      </c>
      <c r="C65" s="1" t="str">
        <f aca="false">VLOOKUP(B65,Tabela4[],2,FALSE())</f>
        <v>Pequena</v>
      </c>
      <c r="D65" s="5" t="str">
        <f aca="false">VLOOKUP(B65,Tabela4[],3,FALSE())</f>
        <v>Santa Catarina</v>
      </c>
      <c r="E65" s="2" t="s">
        <v>12</v>
      </c>
      <c r="F65" s="6" t="n">
        <f aca="false">VLOOKUP($K65,'FATURAMENTO '!$A$2:$E$302,4,FALSE())</f>
        <v>40680</v>
      </c>
      <c r="G65" s="6" t="n">
        <f aca="false">VLOOKUP($K65,'FATURAMENTO '!$A$2:$E$302,5,FALSE())</f>
        <v>27671.35</v>
      </c>
      <c r="H65" s="1" t="str">
        <f aca="false">VLOOKUP($K65,CHURN!$A$2:$E$302,4,FALSE())</f>
        <v>Ativo</v>
      </c>
      <c r="I65" s="7" t="n">
        <f aca="false">(F65-G65)/F65</f>
        <v>0.319779990167158</v>
      </c>
      <c r="J65" s="1" t="str">
        <f aca="false">IF(INDEX($I$3:$I$302,MATCH(B65,$B$3:$B$302,0))&gt;50%,"Alto valor",IF(INDEX($I$3:$I$302,MATCH(B65,$B$3:$B$302,0))&gt;=30%,"Médio valor","Baixo valor"))</f>
        <v>Médio valor</v>
      </c>
      <c r="K65" s="0" t="str">
        <f aca="false">CONCATENATE(B65,E65)</f>
        <v>K2025-02</v>
      </c>
      <c r="L65" s="1"/>
    </row>
    <row r="66" customFormat="false" ht="14.25" hidden="false" customHeight="false" outlineLevel="0" collapsed="false">
      <c r="B66" s="1" t="s">
        <v>25</v>
      </c>
      <c r="C66" s="1" t="str">
        <f aca="false">VLOOKUP(B66,Tabela4[],2,FALSE())</f>
        <v>Pequena</v>
      </c>
      <c r="D66" s="5" t="str">
        <f aca="false">VLOOKUP(B66,Tabela4[],3,FALSE())</f>
        <v>Santa Catarina</v>
      </c>
      <c r="E66" s="2" t="s">
        <v>13</v>
      </c>
      <c r="F66" s="6" t="n">
        <f aca="false">VLOOKUP($K66,'FATURAMENTO '!$A$2:$E$302,4,FALSE())</f>
        <v>32521</v>
      </c>
      <c r="G66" s="6" t="n">
        <f aca="false">VLOOKUP($K66,'FATURAMENTO '!$A$2:$E$302,5,FALSE())</f>
        <v>25280.02</v>
      </c>
      <c r="H66" s="1" t="str">
        <f aca="false">VLOOKUP($K66,CHURN!$A$2:$E$302,4,FALSE())</f>
        <v>Ativo</v>
      </c>
      <c r="I66" s="7" t="n">
        <f aca="false">(F66-G66)/F66</f>
        <v>0.222655514898066</v>
      </c>
      <c r="J66" s="1" t="str">
        <f aca="false">IF(INDEX($I$3:$I$302,MATCH(B66,$B$3:$B$302,0))&gt;50%,"Alto valor",IF(INDEX($I$3:$I$302,MATCH(B66,$B$3:$B$302,0))&gt;=30%,"Médio valor","Baixo valor"))</f>
        <v>Médio valor</v>
      </c>
      <c r="K66" s="0" t="str">
        <f aca="false">CONCATENATE(B66,E66)</f>
        <v>K2025-03</v>
      </c>
      <c r="L66" s="1"/>
    </row>
    <row r="67" customFormat="false" ht="14.25" hidden="false" customHeight="false" outlineLevel="0" collapsed="false">
      <c r="B67" s="1" t="s">
        <v>25</v>
      </c>
      <c r="C67" s="1" t="str">
        <f aca="false">VLOOKUP(B67,Tabela4[],2,FALSE())</f>
        <v>Pequena</v>
      </c>
      <c r="D67" s="5" t="str">
        <f aca="false">VLOOKUP(B67,Tabela4[],3,FALSE())</f>
        <v>Santa Catarina</v>
      </c>
      <c r="E67" s="2" t="s">
        <v>14</v>
      </c>
      <c r="F67" s="6" t="n">
        <f aca="false">VLOOKUP($K67,'FATURAMENTO '!$A$2:$E$302,4,FALSE())</f>
        <v>12557</v>
      </c>
      <c r="G67" s="6" t="n">
        <f aca="false">VLOOKUP($K67,'FATURAMENTO '!$A$2:$E$302,5,FALSE())</f>
        <v>9886.14</v>
      </c>
      <c r="H67" s="1" t="str">
        <f aca="false">VLOOKUP($K67,CHURN!$A$2:$E$302,4,FALSE())</f>
        <v>Ativo</v>
      </c>
      <c r="I67" s="7" t="n">
        <f aca="false">(F67-G67)/F67</f>
        <v>0.212698893047703</v>
      </c>
      <c r="J67" s="1" t="str">
        <f aca="false">IF(INDEX($I$3:$I$302,MATCH(B67,$B$3:$B$302,0))&gt;50%,"Alto valor",IF(INDEX($I$3:$I$302,MATCH(B67,$B$3:$B$302,0))&gt;=30%,"Médio valor","Baixo valor"))</f>
        <v>Médio valor</v>
      </c>
      <c r="K67" s="0" t="str">
        <f aca="false">CONCATENATE(B67,E67)</f>
        <v>K2025-04</v>
      </c>
      <c r="L67" s="1"/>
    </row>
    <row r="68" customFormat="false" ht="14.25" hidden="false" customHeight="false" outlineLevel="0" collapsed="false">
      <c r="B68" s="1" t="s">
        <v>25</v>
      </c>
      <c r="C68" s="1" t="str">
        <f aca="false">VLOOKUP(B68,Tabela4[],2,FALSE())</f>
        <v>Pequena</v>
      </c>
      <c r="D68" s="5" t="str">
        <f aca="false">VLOOKUP(B68,Tabela4[],3,FALSE())</f>
        <v>Santa Catarina</v>
      </c>
      <c r="E68" s="2" t="s">
        <v>15</v>
      </c>
      <c r="F68" s="6" t="n">
        <f aca="false">VLOOKUP($K68,'FATURAMENTO '!$A$2:$E$302,4,FALSE())</f>
        <v>7527</v>
      </c>
      <c r="G68" s="6" t="n">
        <f aca="false">VLOOKUP($K68,'FATURAMENTO '!$A$2:$E$302,5,FALSE())</f>
        <v>4386.02</v>
      </c>
      <c r="H68" s="1" t="str">
        <f aca="false">VLOOKUP($K68,CHURN!$A$2:$E$302,4,FALSE())</f>
        <v>Ativo</v>
      </c>
      <c r="I68" s="7" t="n">
        <f aca="false">(F68-G68)/F68</f>
        <v>0.417295071077454</v>
      </c>
      <c r="J68" s="1" t="str">
        <f aca="false">IF(INDEX($I$3:$I$302,MATCH(B68,$B$3:$B$302,0))&gt;50%,"Alto valor",IF(INDEX($I$3:$I$302,MATCH(B68,$B$3:$B$302,0))&gt;=30%,"Médio valor","Baixo valor"))</f>
        <v>Médio valor</v>
      </c>
      <c r="K68" s="0" t="str">
        <f aca="false">CONCATENATE(B68,E68)</f>
        <v>K2025-05</v>
      </c>
      <c r="L68" s="1"/>
    </row>
    <row r="69" customFormat="false" ht="14.25" hidden="false" customHeight="false" outlineLevel="0" collapsed="false">
      <c r="B69" s="1" t="s">
        <v>26</v>
      </c>
      <c r="C69" s="1" t="str">
        <f aca="false">VLOOKUP(B69,Tabela4[],2,FALSE())</f>
        <v>Grande</v>
      </c>
      <c r="D69" s="5" t="str">
        <f aca="false">VLOOKUP(B69,Tabela4[],3,FALSE())</f>
        <v>Distrito Federal</v>
      </c>
      <c r="E69" s="2" t="s">
        <v>10</v>
      </c>
      <c r="F69" s="6" t="n">
        <f aca="false">VLOOKUP($K69,'FATURAMENTO '!$A$2:$E$302,4,FALSE())</f>
        <v>36806</v>
      </c>
      <c r="G69" s="6" t="n">
        <f aca="false">VLOOKUP($K69,'FATURAMENTO '!$A$2:$E$302,5,FALSE())</f>
        <v>21473.11</v>
      </c>
      <c r="H69" s="1" t="str">
        <f aca="false">VLOOKUP($K69,CHURN!$A$2:$E$302,4,FALSE())</f>
        <v>Ativo</v>
      </c>
      <c r="I69" s="7" t="n">
        <f aca="false">(F69-G69)/F69</f>
        <v>0.416586697821007</v>
      </c>
      <c r="J69" s="1" t="str">
        <f aca="false">IF(INDEX($I$3:$I$302,MATCH(B69,$B$3:$B$302,0))&gt;50%,"Alto valor",IF(INDEX($I$3:$I$302,MATCH(B69,$B$3:$B$302,0))&gt;=30%,"Médio valor","Baixo valor"))</f>
        <v>Médio valor</v>
      </c>
      <c r="K69" s="0" t="str">
        <f aca="false">CONCATENATE(B69,E69)</f>
        <v>L2024-12</v>
      </c>
      <c r="L69" s="1"/>
    </row>
    <row r="70" customFormat="false" ht="14.25" hidden="false" customHeight="false" outlineLevel="0" collapsed="false">
      <c r="B70" s="1" t="s">
        <v>26</v>
      </c>
      <c r="C70" s="1" t="str">
        <f aca="false">VLOOKUP(B70,Tabela4[],2,FALSE())</f>
        <v>Grande</v>
      </c>
      <c r="D70" s="5" t="str">
        <f aca="false">VLOOKUP(B70,Tabela4[],3,FALSE())</f>
        <v>Distrito Federal</v>
      </c>
      <c r="E70" s="2" t="s">
        <v>11</v>
      </c>
      <c r="F70" s="6" t="n">
        <f aca="false">VLOOKUP($K70,'FATURAMENTO '!$A$2:$E$302,4,FALSE())</f>
        <v>21716</v>
      </c>
      <c r="G70" s="6" t="n">
        <f aca="false">VLOOKUP($K70,'FATURAMENTO '!$A$2:$E$302,5,FALSE())</f>
        <v>12776.22</v>
      </c>
      <c r="H70" s="1" t="str">
        <f aca="false">VLOOKUP($K70,CHURN!$A$2:$E$302,4,FALSE())</f>
        <v>Ativo</v>
      </c>
      <c r="I70" s="7" t="n">
        <f aca="false">(F70-G70)/F70</f>
        <v>0.411667894639897</v>
      </c>
      <c r="J70" s="1" t="str">
        <f aca="false">IF(INDEX($I$3:$I$302,MATCH(B70,$B$3:$B$302,0))&gt;50%,"Alto valor",IF(INDEX($I$3:$I$302,MATCH(B70,$B$3:$B$302,0))&gt;=30%,"Médio valor","Baixo valor"))</f>
        <v>Médio valor</v>
      </c>
      <c r="K70" s="0" t="str">
        <f aca="false">CONCATENATE(B70,E70)</f>
        <v>L2025-01</v>
      </c>
      <c r="L70" s="1"/>
    </row>
    <row r="71" customFormat="false" ht="14.25" hidden="false" customHeight="false" outlineLevel="0" collapsed="false">
      <c r="B71" s="1" t="s">
        <v>26</v>
      </c>
      <c r="C71" s="1" t="str">
        <f aca="false">VLOOKUP(B71,Tabela4[],2,FALSE())</f>
        <v>Grande</v>
      </c>
      <c r="D71" s="5" t="str">
        <f aca="false">VLOOKUP(B71,Tabela4[],3,FALSE())</f>
        <v>Distrito Federal</v>
      </c>
      <c r="E71" s="2" t="s">
        <v>12</v>
      </c>
      <c r="F71" s="6" t="n">
        <f aca="false">VLOOKUP($K71,'FATURAMENTO '!$A$2:$E$302,4,FALSE())</f>
        <v>20446</v>
      </c>
      <c r="G71" s="6" t="n">
        <f aca="false">VLOOKUP($K71,'FATURAMENTO '!$A$2:$E$302,5,FALSE())</f>
        <v>11448.38</v>
      </c>
      <c r="H71" s="1" t="str">
        <f aca="false">VLOOKUP($K71,CHURN!$A$2:$E$302,4,FALSE())</f>
        <v>Ativo</v>
      </c>
      <c r="I71" s="7" t="n">
        <f aca="false">(F71-G71)/F71</f>
        <v>0.440067494864521</v>
      </c>
      <c r="J71" s="1" t="str">
        <f aca="false">IF(INDEX($I$3:$I$302,MATCH(B71,$B$3:$B$302,0))&gt;50%,"Alto valor",IF(INDEX($I$3:$I$302,MATCH(B71,$B$3:$B$302,0))&gt;=30%,"Médio valor","Baixo valor"))</f>
        <v>Médio valor</v>
      </c>
      <c r="K71" s="0" t="str">
        <f aca="false">CONCATENATE(B71,E71)</f>
        <v>L2025-02</v>
      </c>
      <c r="L71" s="1"/>
    </row>
    <row r="72" customFormat="false" ht="14.25" hidden="false" customHeight="false" outlineLevel="0" collapsed="false">
      <c r="B72" s="1" t="s">
        <v>26</v>
      </c>
      <c r="C72" s="1" t="str">
        <f aca="false">VLOOKUP(B72,Tabela4[],2,FALSE())</f>
        <v>Grande</v>
      </c>
      <c r="D72" s="5" t="str">
        <f aca="false">VLOOKUP(B72,Tabela4[],3,FALSE())</f>
        <v>Distrito Federal</v>
      </c>
      <c r="E72" s="2" t="s">
        <v>13</v>
      </c>
      <c r="F72" s="6" t="n">
        <f aca="false">VLOOKUP($K72,'FATURAMENTO '!$A$2:$E$302,4,FALSE())</f>
        <v>23460</v>
      </c>
      <c r="G72" s="6" t="n">
        <f aca="false">VLOOKUP($K72,'FATURAMENTO '!$A$2:$E$302,5,FALSE())</f>
        <v>17324.41</v>
      </c>
      <c r="H72" s="1" t="str">
        <f aca="false">VLOOKUP($K72,CHURN!$A$2:$E$302,4,FALSE())</f>
        <v>Ativo</v>
      </c>
      <c r="I72" s="7" t="n">
        <f aca="false">(F72-G72)/F72</f>
        <v>0.26153410059676</v>
      </c>
      <c r="J72" s="1" t="str">
        <f aca="false">IF(INDEX($I$3:$I$302,MATCH(B72,$B$3:$B$302,0))&gt;50%,"Alto valor",IF(INDEX($I$3:$I$302,MATCH(B72,$B$3:$B$302,0))&gt;=30%,"Médio valor","Baixo valor"))</f>
        <v>Médio valor</v>
      </c>
      <c r="K72" s="0" t="str">
        <f aca="false">CONCATENATE(B72,E72)</f>
        <v>L2025-03</v>
      </c>
      <c r="L72" s="1"/>
    </row>
    <row r="73" customFormat="false" ht="14.25" hidden="false" customHeight="false" outlineLevel="0" collapsed="false">
      <c r="B73" s="1" t="s">
        <v>26</v>
      </c>
      <c r="C73" s="1" t="str">
        <f aca="false">VLOOKUP(B73,Tabela4[],2,FALSE())</f>
        <v>Grande</v>
      </c>
      <c r="D73" s="5" t="str">
        <f aca="false">VLOOKUP(B73,Tabela4[],3,FALSE())</f>
        <v>Distrito Federal</v>
      </c>
      <c r="E73" s="2" t="s">
        <v>14</v>
      </c>
      <c r="F73" s="6" t="n">
        <f aca="false">VLOOKUP($K73,'FATURAMENTO '!$A$2:$E$302,4,FALSE())</f>
        <v>23755</v>
      </c>
      <c r="G73" s="6" t="n">
        <f aca="false">VLOOKUP($K73,'FATURAMENTO '!$A$2:$E$302,5,FALSE())</f>
        <v>15754.91</v>
      </c>
      <c r="H73" s="1" t="str">
        <f aca="false">VLOOKUP($K73,CHURN!$A$2:$E$302,4,FALSE())</f>
        <v>Ativo</v>
      </c>
      <c r="I73" s="7" t="n">
        <f aca="false">(F73-G73)/F73</f>
        <v>0.33677499473795</v>
      </c>
      <c r="J73" s="1" t="str">
        <f aca="false">IF(INDEX($I$3:$I$302,MATCH(B73,$B$3:$B$302,0))&gt;50%,"Alto valor",IF(INDEX($I$3:$I$302,MATCH(B73,$B$3:$B$302,0))&gt;=30%,"Médio valor","Baixo valor"))</f>
        <v>Médio valor</v>
      </c>
      <c r="K73" s="0" t="str">
        <f aca="false">CONCATENATE(B73,E73)</f>
        <v>L2025-04</v>
      </c>
      <c r="L73" s="1"/>
    </row>
    <row r="74" customFormat="false" ht="14.25" hidden="false" customHeight="false" outlineLevel="0" collapsed="false">
      <c r="B74" s="1" t="s">
        <v>26</v>
      </c>
      <c r="C74" s="1" t="str">
        <f aca="false">VLOOKUP(B74,Tabela4[],2,FALSE())</f>
        <v>Grande</v>
      </c>
      <c r="D74" s="5" t="str">
        <f aca="false">VLOOKUP(B74,Tabela4[],3,FALSE())</f>
        <v>Distrito Federal</v>
      </c>
      <c r="E74" s="2" t="s">
        <v>15</v>
      </c>
      <c r="F74" s="6" t="n">
        <f aca="false">VLOOKUP($K74,'FATURAMENTO '!$A$2:$E$302,4,FALSE())</f>
        <v>47467</v>
      </c>
      <c r="G74" s="6" t="n">
        <f aca="false">VLOOKUP($K74,'FATURAMENTO '!$A$2:$E$302,5,FALSE())</f>
        <v>36284.09</v>
      </c>
      <c r="H74" s="1" t="str">
        <f aca="false">VLOOKUP($K74,CHURN!$A$2:$E$302,4,FALSE())</f>
        <v>Ativo</v>
      </c>
      <c r="I74" s="7" t="n">
        <f aca="false">(F74-G74)/F74</f>
        <v>0.235593359597194</v>
      </c>
      <c r="J74" s="1" t="str">
        <f aca="false">IF(INDEX($I$3:$I$302,MATCH(B74,$B$3:$B$302,0))&gt;50%,"Alto valor",IF(INDEX($I$3:$I$302,MATCH(B74,$B$3:$B$302,0))&gt;=30%,"Médio valor","Baixo valor"))</f>
        <v>Médio valor</v>
      </c>
      <c r="K74" s="0" t="str">
        <f aca="false">CONCATENATE(B74,E74)</f>
        <v>L2025-05</v>
      </c>
      <c r="L74" s="1"/>
    </row>
    <row r="75" customFormat="false" ht="14.25" hidden="false" customHeight="false" outlineLevel="0" collapsed="false">
      <c r="B75" s="1" t="s">
        <v>27</v>
      </c>
      <c r="C75" s="1" t="str">
        <f aca="false">VLOOKUP(B75,Tabela4[],2,FALSE())</f>
        <v>Média</v>
      </c>
      <c r="D75" s="5" t="str">
        <f aca="false">VLOOKUP(B75,Tabela4[],3,FALSE())</f>
        <v>Ceará</v>
      </c>
      <c r="E75" s="2" t="s">
        <v>10</v>
      </c>
      <c r="F75" s="6" t="n">
        <f aca="false">VLOOKUP($K75,'FATURAMENTO '!$A$2:$E$302,4,FALSE())</f>
        <v>18899</v>
      </c>
      <c r="G75" s="6" t="n">
        <f aca="false">VLOOKUP($K75,'FATURAMENTO '!$A$2:$E$302,5,FALSE())</f>
        <v>10332.93</v>
      </c>
      <c r="H75" s="1" t="str">
        <f aca="false">VLOOKUP($K75,CHURN!$A$2:$E$302,4,FALSE())</f>
        <v>Ativo</v>
      </c>
      <c r="I75" s="7" t="n">
        <f aca="false">(F75-G75)/F75</f>
        <v>0.453255198687761</v>
      </c>
      <c r="J75" s="1" t="str">
        <f aca="false">IF(INDEX($I$3:$I$302,MATCH(B75,$B$3:$B$302,0))&gt;50%,"Alto valor",IF(INDEX($I$3:$I$302,MATCH(B75,$B$3:$B$302,0))&gt;=30%,"Médio valor","Baixo valor"))</f>
        <v>Médio valor</v>
      </c>
      <c r="K75" s="0" t="str">
        <f aca="false">CONCATENATE(B75,E75)</f>
        <v>M2024-12</v>
      </c>
      <c r="L75" s="1"/>
    </row>
    <row r="76" customFormat="false" ht="14.25" hidden="false" customHeight="false" outlineLevel="0" collapsed="false">
      <c r="B76" s="1" t="s">
        <v>27</v>
      </c>
      <c r="C76" s="1" t="str">
        <f aca="false">VLOOKUP(B76,Tabela4[],2,FALSE())</f>
        <v>Média</v>
      </c>
      <c r="D76" s="5" t="str">
        <f aca="false">VLOOKUP(B76,Tabela4[],3,FALSE())</f>
        <v>Ceará</v>
      </c>
      <c r="E76" s="2" t="s">
        <v>11</v>
      </c>
      <c r="F76" s="6" t="n">
        <f aca="false">VLOOKUP($K76,'FATURAMENTO '!$A$2:$E$302,4,FALSE())</f>
        <v>9629</v>
      </c>
      <c r="G76" s="6" t="n">
        <f aca="false">VLOOKUP($K76,'FATURAMENTO '!$A$2:$E$302,5,FALSE())</f>
        <v>7664.88</v>
      </c>
      <c r="H76" s="1" t="str">
        <f aca="false">VLOOKUP($K76,CHURN!$A$2:$E$302,4,FALSE())</f>
        <v>Ativo</v>
      </c>
      <c r="I76" s="7" t="n">
        <f aca="false">(F76-G76)/F76</f>
        <v>0.203979644822931</v>
      </c>
      <c r="J76" s="1" t="str">
        <f aca="false">IF(INDEX($I$3:$I$302,MATCH(B76,$B$3:$B$302,0))&gt;50%,"Alto valor",IF(INDEX($I$3:$I$302,MATCH(B76,$B$3:$B$302,0))&gt;=30%,"Médio valor","Baixo valor"))</f>
        <v>Médio valor</v>
      </c>
      <c r="K76" s="0" t="str">
        <f aca="false">CONCATENATE(B76,E76)</f>
        <v>M2025-01</v>
      </c>
      <c r="L76" s="1"/>
    </row>
    <row r="77" customFormat="false" ht="14.25" hidden="false" customHeight="false" outlineLevel="0" collapsed="false">
      <c r="B77" s="1" t="s">
        <v>27</v>
      </c>
      <c r="C77" s="1" t="str">
        <f aca="false">VLOOKUP(B77,Tabela4[],2,FALSE())</f>
        <v>Média</v>
      </c>
      <c r="D77" s="5" t="str">
        <f aca="false">VLOOKUP(B77,Tabela4[],3,FALSE())</f>
        <v>Ceará</v>
      </c>
      <c r="E77" s="2" t="s">
        <v>12</v>
      </c>
      <c r="F77" s="6" t="n">
        <f aca="false">VLOOKUP($K77,'FATURAMENTO '!$A$2:$E$302,4,FALSE())</f>
        <v>9867</v>
      </c>
      <c r="G77" s="6" t="n">
        <f aca="false">VLOOKUP($K77,'FATURAMENTO '!$A$2:$E$302,5,FALSE())</f>
        <v>5296.05</v>
      </c>
      <c r="H77" s="1" t="str">
        <f aca="false">VLOOKUP($K77,CHURN!$A$2:$E$302,4,FALSE())</f>
        <v>Ativo</v>
      </c>
      <c r="I77" s="7" t="n">
        <f aca="false">(F77-G77)/F77</f>
        <v>0.463256308908483</v>
      </c>
      <c r="J77" s="1" t="str">
        <f aca="false">IF(INDEX($I$3:$I$302,MATCH(B77,$B$3:$B$302,0))&gt;50%,"Alto valor",IF(INDEX($I$3:$I$302,MATCH(B77,$B$3:$B$302,0))&gt;=30%,"Médio valor","Baixo valor"))</f>
        <v>Médio valor</v>
      </c>
      <c r="K77" s="0" t="str">
        <f aca="false">CONCATENATE(B77,E77)</f>
        <v>M2025-02</v>
      </c>
      <c r="L77" s="1"/>
    </row>
    <row r="78" customFormat="false" ht="14.25" hidden="false" customHeight="false" outlineLevel="0" collapsed="false">
      <c r="B78" s="1" t="s">
        <v>27</v>
      </c>
      <c r="C78" s="1" t="str">
        <f aca="false">VLOOKUP(B78,Tabela4[],2,FALSE())</f>
        <v>Média</v>
      </c>
      <c r="D78" s="5" t="str">
        <f aca="false">VLOOKUP(B78,Tabela4[],3,FALSE())</f>
        <v>Ceará</v>
      </c>
      <c r="E78" s="2" t="s">
        <v>13</v>
      </c>
      <c r="F78" s="6" t="n">
        <f aca="false">VLOOKUP($K78,'FATURAMENTO '!$A$2:$E$302,4,FALSE())</f>
        <v>26670</v>
      </c>
      <c r="G78" s="6" t="n">
        <f aca="false">VLOOKUP($K78,'FATURAMENTO '!$A$2:$E$302,5,FALSE())</f>
        <v>20567.97</v>
      </c>
      <c r="H78" s="1" t="str">
        <f aca="false">VLOOKUP($K78,CHURN!$A$2:$E$302,4,FALSE())</f>
        <v>Cancelado</v>
      </c>
      <c r="I78" s="7" t="n">
        <f aca="false">(F78-G78)/F78</f>
        <v>0.228797525309336</v>
      </c>
      <c r="J78" s="1" t="str">
        <f aca="false">IF(INDEX($I$3:$I$302,MATCH(B78,$B$3:$B$302,0))&gt;50%,"Alto valor",IF(INDEX($I$3:$I$302,MATCH(B78,$B$3:$B$302,0))&gt;=30%,"Médio valor","Baixo valor"))</f>
        <v>Médio valor</v>
      </c>
      <c r="K78" s="0" t="str">
        <f aca="false">CONCATENATE(B78,E78)</f>
        <v>M2025-03</v>
      </c>
      <c r="L78" s="1"/>
    </row>
    <row r="79" customFormat="false" ht="14.25" hidden="false" customHeight="false" outlineLevel="0" collapsed="false">
      <c r="B79" s="1" t="s">
        <v>27</v>
      </c>
      <c r="C79" s="1" t="str">
        <f aca="false">VLOOKUP(B79,Tabela4[],2,FALSE())</f>
        <v>Média</v>
      </c>
      <c r="D79" s="5" t="str">
        <f aca="false">VLOOKUP(B79,Tabela4[],3,FALSE())</f>
        <v>Ceará</v>
      </c>
      <c r="E79" s="2" t="s">
        <v>14</v>
      </c>
      <c r="F79" s="6" t="n">
        <f aca="false">VLOOKUP($K79,'FATURAMENTO '!$A$2:$E$302,4,FALSE())</f>
        <v>38849</v>
      </c>
      <c r="G79" s="6" t="n">
        <f aca="false">VLOOKUP($K79,'FATURAMENTO '!$A$2:$E$302,5,FALSE())</f>
        <v>24675.66</v>
      </c>
      <c r="H79" s="1" t="str">
        <f aca="false">VLOOKUP($K79,CHURN!$A$2:$E$302,4,FALSE())</f>
        <v>Ativo</v>
      </c>
      <c r="I79" s="7" t="n">
        <f aca="false">(F79-G79)/F79</f>
        <v>0.364831527195037</v>
      </c>
      <c r="J79" s="1" t="str">
        <f aca="false">IF(INDEX($I$3:$I$302,MATCH(B79,$B$3:$B$302,0))&gt;50%,"Alto valor",IF(INDEX($I$3:$I$302,MATCH(B79,$B$3:$B$302,0))&gt;=30%,"Médio valor","Baixo valor"))</f>
        <v>Médio valor</v>
      </c>
      <c r="K79" s="0" t="str">
        <f aca="false">CONCATENATE(B79,E79)</f>
        <v>M2025-04</v>
      </c>
      <c r="L79" s="1"/>
    </row>
    <row r="80" customFormat="false" ht="14.25" hidden="false" customHeight="false" outlineLevel="0" collapsed="false">
      <c r="B80" s="1" t="s">
        <v>27</v>
      </c>
      <c r="C80" s="1" t="str">
        <f aca="false">VLOOKUP(B80,Tabela4[],2,FALSE())</f>
        <v>Média</v>
      </c>
      <c r="D80" s="5" t="str">
        <f aca="false">VLOOKUP(B80,Tabela4[],3,FALSE())</f>
        <v>Ceará</v>
      </c>
      <c r="E80" s="2" t="s">
        <v>15</v>
      </c>
      <c r="F80" s="6" t="n">
        <f aca="false">VLOOKUP($K80,'FATURAMENTO '!$A$2:$E$302,4,FALSE())</f>
        <v>19165</v>
      </c>
      <c r="G80" s="6" t="n">
        <f aca="false">VLOOKUP($K80,'FATURAMENTO '!$A$2:$E$302,5,FALSE())</f>
        <v>12147.41</v>
      </c>
      <c r="H80" s="1" t="str">
        <f aca="false">VLOOKUP($K80,CHURN!$A$2:$E$302,4,FALSE())</f>
        <v>Ativo</v>
      </c>
      <c r="I80" s="7" t="n">
        <f aca="false">(F80-G80)/F80</f>
        <v>0.36616697104096</v>
      </c>
      <c r="J80" s="1" t="str">
        <f aca="false">IF(INDEX($I$3:$I$302,MATCH(B80,$B$3:$B$302,0))&gt;50%,"Alto valor",IF(INDEX($I$3:$I$302,MATCH(B80,$B$3:$B$302,0))&gt;=30%,"Médio valor","Baixo valor"))</f>
        <v>Médio valor</v>
      </c>
      <c r="K80" s="0" t="str">
        <f aca="false">CONCATENATE(B80,E80)</f>
        <v>M2025-05</v>
      </c>
      <c r="L80" s="1"/>
    </row>
    <row r="81" customFormat="false" ht="14.25" hidden="false" customHeight="false" outlineLevel="0" collapsed="false">
      <c r="B81" s="1" t="s">
        <v>28</v>
      </c>
      <c r="C81" s="1" t="str">
        <f aca="false">VLOOKUP(B81,Tabela4[],2,FALSE())</f>
        <v>Média</v>
      </c>
      <c r="D81" s="5" t="str">
        <f aca="false">VLOOKUP(B81,Tabela4[],3,FALSE())</f>
        <v>São Paulo</v>
      </c>
      <c r="E81" s="2" t="s">
        <v>10</v>
      </c>
      <c r="F81" s="6" t="n">
        <f aca="false">VLOOKUP($K81,'FATURAMENTO '!$A$2:$E$302,4,FALSE())</f>
        <v>24247</v>
      </c>
      <c r="G81" s="6" t="n">
        <f aca="false">VLOOKUP($K81,'FATURAMENTO '!$A$2:$E$302,5,FALSE())</f>
        <v>12695.52</v>
      </c>
      <c r="H81" s="1" t="str">
        <f aca="false">VLOOKUP($K81,CHURN!$A$2:$E$302,4,FALSE())</f>
        <v>Ativo</v>
      </c>
      <c r="I81" s="7" t="n">
        <f aca="false">(F81-G81)/F81</f>
        <v>0.476408627871489</v>
      </c>
      <c r="J81" s="1" t="str">
        <f aca="false">IF(INDEX($I$3:$I$302,MATCH(B81,$B$3:$B$302,0))&gt;50%,"Alto valor",IF(INDEX($I$3:$I$302,MATCH(B81,$B$3:$B$302,0))&gt;=30%,"Médio valor","Baixo valor"))</f>
        <v>Médio valor</v>
      </c>
      <c r="K81" s="0" t="str">
        <f aca="false">CONCATENATE(B81,E81)</f>
        <v>N2024-12</v>
      </c>
      <c r="L81" s="1"/>
    </row>
    <row r="82" customFormat="false" ht="14.25" hidden="false" customHeight="false" outlineLevel="0" collapsed="false">
      <c r="B82" s="1" t="s">
        <v>28</v>
      </c>
      <c r="C82" s="1" t="str">
        <f aca="false">VLOOKUP(B82,Tabela4[],2,FALSE())</f>
        <v>Média</v>
      </c>
      <c r="D82" s="5" t="str">
        <f aca="false">VLOOKUP(B82,Tabela4[],3,FALSE())</f>
        <v>São Paulo</v>
      </c>
      <c r="E82" s="2" t="s">
        <v>11</v>
      </c>
      <c r="F82" s="6" t="n">
        <f aca="false">VLOOKUP($K82,'FATURAMENTO '!$A$2:$E$302,4,FALSE())</f>
        <v>36928</v>
      </c>
      <c r="G82" s="6" t="n">
        <f aca="false">VLOOKUP($K82,'FATURAMENTO '!$A$2:$E$302,5,FALSE())</f>
        <v>20397.37</v>
      </c>
      <c r="H82" s="1" t="str">
        <f aca="false">VLOOKUP($K82,CHURN!$A$2:$E$302,4,FALSE())</f>
        <v>Ativo</v>
      </c>
      <c r="I82" s="7" t="n">
        <f aca="false">(F82-G82)/F82</f>
        <v>0.447644876516465</v>
      </c>
      <c r="J82" s="1" t="str">
        <f aca="false">IF(INDEX($I$3:$I$302,MATCH(B82,$B$3:$B$302,0))&gt;50%,"Alto valor",IF(INDEX($I$3:$I$302,MATCH(B82,$B$3:$B$302,0))&gt;=30%,"Médio valor","Baixo valor"))</f>
        <v>Médio valor</v>
      </c>
      <c r="K82" s="0" t="str">
        <f aca="false">CONCATENATE(B82,E82)</f>
        <v>N2025-01</v>
      </c>
      <c r="L82" s="1"/>
    </row>
    <row r="83" customFormat="false" ht="14.25" hidden="false" customHeight="false" outlineLevel="0" collapsed="false">
      <c r="B83" s="1" t="s">
        <v>28</v>
      </c>
      <c r="C83" s="1" t="str">
        <f aca="false">VLOOKUP(B83,Tabela4[],2,FALSE())</f>
        <v>Média</v>
      </c>
      <c r="D83" s="5" t="str">
        <f aca="false">VLOOKUP(B83,Tabela4[],3,FALSE())</f>
        <v>São Paulo</v>
      </c>
      <c r="E83" s="2" t="s">
        <v>12</v>
      </c>
      <c r="F83" s="6" t="n">
        <f aca="false">VLOOKUP($K83,'FATURAMENTO '!$A$2:$E$302,4,FALSE())</f>
        <v>9259</v>
      </c>
      <c r="G83" s="6" t="n">
        <f aca="false">VLOOKUP($K83,'FATURAMENTO '!$A$2:$E$302,5,FALSE())</f>
        <v>6297.21</v>
      </c>
      <c r="H83" s="1" t="str">
        <f aca="false">VLOOKUP($K83,CHURN!$A$2:$E$302,4,FALSE())</f>
        <v>Cancelado</v>
      </c>
      <c r="I83" s="7" t="n">
        <f aca="false">(F83-G83)/F83</f>
        <v>0.319882276703748</v>
      </c>
      <c r="J83" s="1" t="str">
        <f aca="false">IF(INDEX($I$3:$I$302,MATCH(B83,$B$3:$B$302,0))&gt;50%,"Alto valor",IF(INDEX($I$3:$I$302,MATCH(B83,$B$3:$B$302,0))&gt;=30%,"Médio valor","Baixo valor"))</f>
        <v>Médio valor</v>
      </c>
      <c r="K83" s="0" t="str">
        <f aca="false">CONCATENATE(B83,E83)</f>
        <v>N2025-02</v>
      </c>
      <c r="L83" s="1"/>
    </row>
    <row r="84" customFormat="false" ht="14.25" hidden="false" customHeight="false" outlineLevel="0" collapsed="false">
      <c r="B84" s="1" t="s">
        <v>28</v>
      </c>
      <c r="C84" s="1" t="str">
        <f aca="false">VLOOKUP(B84,Tabela4[],2,FALSE())</f>
        <v>Média</v>
      </c>
      <c r="D84" s="5" t="str">
        <f aca="false">VLOOKUP(B84,Tabela4[],3,FALSE())</f>
        <v>São Paulo</v>
      </c>
      <c r="E84" s="2" t="s">
        <v>13</v>
      </c>
      <c r="F84" s="6" t="n">
        <f aca="false">VLOOKUP($K84,'FATURAMENTO '!$A$2:$E$302,4,FALSE())</f>
        <v>44919</v>
      </c>
      <c r="G84" s="6" t="n">
        <f aca="false">VLOOKUP($K84,'FATURAMENTO '!$A$2:$E$302,5,FALSE())</f>
        <v>25245.84</v>
      </c>
      <c r="H84" s="1" t="str">
        <f aca="false">VLOOKUP($K84,CHURN!$A$2:$E$302,4,FALSE())</f>
        <v>Ativo</v>
      </c>
      <c r="I84" s="7" t="n">
        <f aca="false">(F84-G84)/F84</f>
        <v>0.437969678755093</v>
      </c>
      <c r="J84" s="1" t="str">
        <f aca="false">IF(INDEX($I$3:$I$302,MATCH(B84,$B$3:$B$302,0))&gt;50%,"Alto valor",IF(INDEX($I$3:$I$302,MATCH(B84,$B$3:$B$302,0))&gt;=30%,"Médio valor","Baixo valor"))</f>
        <v>Médio valor</v>
      </c>
      <c r="K84" s="0" t="str">
        <f aca="false">CONCATENATE(B84,E84)</f>
        <v>N2025-03</v>
      </c>
      <c r="L84" s="1"/>
    </row>
    <row r="85" customFormat="false" ht="14.25" hidden="false" customHeight="false" outlineLevel="0" collapsed="false">
      <c r="B85" s="1" t="s">
        <v>28</v>
      </c>
      <c r="C85" s="1" t="str">
        <f aca="false">VLOOKUP(B85,Tabela4[],2,FALSE())</f>
        <v>Média</v>
      </c>
      <c r="D85" s="5" t="str">
        <f aca="false">VLOOKUP(B85,Tabela4[],3,FALSE())</f>
        <v>São Paulo</v>
      </c>
      <c r="E85" s="2" t="s">
        <v>14</v>
      </c>
      <c r="F85" s="6" t="n">
        <f aca="false">VLOOKUP($K85,'FATURAMENTO '!$A$2:$E$302,4,FALSE())</f>
        <v>48838</v>
      </c>
      <c r="G85" s="6" t="n">
        <f aca="false">VLOOKUP($K85,'FATURAMENTO '!$A$2:$E$302,5,FALSE())</f>
        <v>27511.29</v>
      </c>
      <c r="H85" s="1" t="str">
        <f aca="false">VLOOKUP($K85,CHURN!$A$2:$E$302,4,FALSE())</f>
        <v>Ativo</v>
      </c>
      <c r="I85" s="7" t="n">
        <f aca="false">(F85-G85)/F85</f>
        <v>0.43668270608952</v>
      </c>
      <c r="J85" s="1" t="str">
        <f aca="false">IF(INDEX($I$3:$I$302,MATCH(B85,$B$3:$B$302,0))&gt;50%,"Alto valor",IF(INDEX($I$3:$I$302,MATCH(B85,$B$3:$B$302,0))&gt;=30%,"Médio valor","Baixo valor"))</f>
        <v>Médio valor</v>
      </c>
      <c r="K85" s="0" t="str">
        <f aca="false">CONCATENATE(B85,E85)</f>
        <v>N2025-04</v>
      </c>
      <c r="L85" s="1"/>
    </row>
    <row r="86" customFormat="false" ht="14.25" hidden="false" customHeight="false" outlineLevel="0" collapsed="false">
      <c r="B86" s="1" t="s">
        <v>28</v>
      </c>
      <c r="C86" s="1" t="str">
        <f aca="false">VLOOKUP(B86,Tabela4[],2,FALSE())</f>
        <v>Média</v>
      </c>
      <c r="D86" s="5" t="str">
        <f aca="false">VLOOKUP(B86,Tabela4[],3,FALSE())</f>
        <v>São Paulo</v>
      </c>
      <c r="E86" s="2" t="s">
        <v>15</v>
      </c>
      <c r="F86" s="6" t="n">
        <f aca="false">VLOOKUP($K86,'FATURAMENTO '!$A$2:$E$302,4,FALSE())</f>
        <v>20203</v>
      </c>
      <c r="G86" s="6" t="n">
        <f aca="false">VLOOKUP($K86,'FATURAMENTO '!$A$2:$E$302,5,FALSE())</f>
        <v>14594.09</v>
      </c>
      <c r="H86" s="1" t="str">
        <f aca="false">VLOOKUP($K86,CHURN!$A$2:$E$302,4,FALSE())</f>
        <v>Ativo</v>
      </c>
      <c r="I86" s="7" t="n">
        <f aca="false">(F86-G86)/F86</f>
        <v>0.277627580062367</v>
      </c>
      <c r="J86" s="1" t="str">
        <f aca="false">IF(INDEX($I$3:$I$302,MATCH(B86,$B$3:$B$302,0))&gt;50%,"Alto valor",IF(INDEX($I$3:$I$302,MATCH(B86,$B$3:$B$302,0))&gt;=30%,"Médio valor","Baixo valor"))</f>
        <v>Médio valor</v>
      </c>
      <c r="K86" s="0" t="str">
        <f aca="false">CONCATENATE(B86,E86)</f>
        <v>N2025-05</v>
      </c>
      <c r="L86" s="1"/>
    </row>
    <row r="87" customFormat="false" ht="14.25" hidden="false" customHeight="false" outlineLevel="0" collapsed="false">
      <c r="B87" s="1" t="s">
        <v>29</v>
      </c>
      <c r="C87" s="1" t="str">
        <f aca="false">VLOOKUP(B87,Tabela4[],2,FALSE())</f>
        <v>Pequena</v>
      </c>
      <c r="D87" s="5" t="str">
        <f aca="false">VLOOKUP(B87,Tabela4[],3,FALSE())</f>
        <v>Rio Grande do Sul</v>
      </c>
      <c r="E87" s="2" t="s">
        <v>10</v>
      </c>
      <c r="F87" s="6" t="n">
        <f aca="false">VLOOKUP($K87,'FATURAMENTO '!$A$2:$E$302,4,FALSE())</f>
        <v>25062</v>
      </c>
      <c r="G87" s="6" t="n">
        <f aca="false">VLOOKUP($K87,'FATURAMENTO '!$A$2:$E$302,5,FALSE())</f>
        <v>18422.67</v>
      </c>
      <c r="H87" s="1" t="str">
        <f aca="false">VLOOKUP($K87,CHURN!$A$2:$E$302,4,FALSE())</f>
        <v>Ativo</v>
      </c>
      <c r="I87" s="7" t="n">
        <f aca="false">(F87-G87)/F87</f>
        <v>0.264916207804645</v>
      </c>
      <c r="J87" s="1" t="str">
        <f aca="false">IF(INDEX($I$3:$I$302,MATCH(B87,$B$3:$B$302,0))&gt;50%,"Alto valor",IF(INDEX($I$3:$I$302,MATCH(B87,$B$3:$B$302,0))&gt;=30%,"Médio valor","Baixo valor"))</f>
        <v>Baixo valor</v>
      </c>
      <c r="K87" s="0" t="str">
        <f aca="false">CONCATENATE(B87,E87)</f>
        <v>O2024-12</v>
      </c>
      <c r="L87" s="1"/>
    </row>
    <row r="88" customFormat="false" ht="14.25" hidden="false" customHeight="false" outlineLevel="0" collapsed="false">
      <c r="B88" s="1" t="s">
        <v>29</v>
      </c>
      <c r="C88" s="1" t="str">
        <f aca="false">VLOOKUP(B88,Tabela4[],2,FALSE())</f>
        <v>Pequena</v>
      </c>
      <c r="D88" s="5" t="str">
        <f aca="false">VLOOKUP(B88,Tabela4[],3,FALSE())</f>
        <v>Rio Grande do Sul</v>
      </c>
      <c r="E88" s="2" t="s">
        <v>11</v>
      </c>
      <c r="F88" s="6" t="n">
        <f aca="false">VLOOKUP($K88,'FATURAMENTO '!$A$2:$E$302,4,FALSE())</f>
        <v>34086</v>
      </c>
      <c r="G88" s="6" t="n">
        <f aca="false">VLOOKUP($K88,'FATURAMENTO '!$A$2:$E$302,5,FALSE())</f>
        <v>24226.6</v>
      </c>
      <c r="H88" s="1" t="str">
        <f aca="false">VLOOKUP($K88,CHURN!$A$2:$E$302,4,FALSE())</f>
        <v>Ativo</v>
      </c>
      <c r="I88" s="7" t="n">
        <f aca="false">(F88-G88)/F88</f>
        <v>0.28925071877017</v>
      </c>
      <c r="J88" s="1" t="str">
        <f aca="false">IF(INDEX($I$3:$I$302,MATCH(B88,$B$3:$B$302,0))&gt;50%,"Alto valor",IF(INDEX($I$3:$I$302,MATCH(B88,$B$3:$B$302,0))&gt;=30%,"Médio valor","Baixo valor"))</f>
        <v>Baixo valor</v>
      </c>
      <c r="K88" s="0" t="str">
        <f aca="false">CONCATENATE(B88,E88)</f>
        <v>O2025-01</v>
      </c>
      <c r="L88" s="1"/>
    </row>
    <row r="89" customFormat="false" ht="14.25" hidden="false" customHeight="false" outlineLevel="0" collapsed="false">
      <c r="B89" s="1" t="s">
        <v>29</v>
      </c>
      <c r="C89" s="1" t="str">
        <f aca="false">VLOOKUP(B89,Tabela4[],2,FALSE())</f>
        <v>Pequena</v>
      </c>
      <c r="D89" s="5" t="str">
        <f aca="false">VLOOKUP(B89,Tabela4[],3,FALSE())</f>
        <v>Rio Grande do Sul</v>
      </c>
      <c r="E89" s="2" t="s">
        <v>12</v>
      </c>
      <c r="F89" s="6" t="n">
        <f aca="false">VLOOKUP($K89,'FATURAMENTO '!$A$2:$E$302,4,FALSE())</f>
        <v>9723</v>
      </c>
      <c r="G89" s="6" t="n">
        <f aca="false">VLOOKUP($K89,'FATURAMENTO '!$A$2:$E$302,5,FALSE())</f>
        <v>4931.96</v>
      </c>
      <c r="H89" s="1" t="str">
        <f aca="false">VLOOKUP($K89,CHURN!$A$2:$E$302,4,FALSE())</f>
        <v>Ativo</v>
      </c>
      <c r="I89" s="7" t="n">
        <f aca="false">(F89-G89)/F89</f>
        <v>0.49275326545305</v>
      </c>
      <c r="J89" s="1" t="str">
        <f aca="false">IF(INDEX($I$3:$I$302,MATCH(B89,$B$3:$B$302,0))&gt;50%,"Alto valor",IF(INDEX($I$3:$I$302,MATCH(B89,$B$3:$B$302,0))&gt;=30%,"Médio valor","Baixo valor"))</f>
        <v>Baixo valor</v>
      </c>
      <c r="K89" s="0" t="str">
        <f aca="false">CONCATENATE(B89,E89)</f>
        <v>O2025-02</v>
      </c>
      <c r="L89" s="1"/>
    </row>
    <row r="90" customFormat="false" ht="14.25" hidden="false" customHeight="false" outlineLevel="0" collapsed="false">
      <c r="B90" s="1" t="s">
        <v>29</v>
      </c>
      <c r="C90" s="1" t="str">
        <f aca="false">VLOOKUP(B90,Tabela4[],2,FALSE())</f>
        <v>Pequena</v>
      </c>
      <c r="D90" s="5" t="str">
        <f aca="false">VLOOKUP(B90,Tabela4[],3,FALSE())</f>
        <v>Rio Grande do Sul</v>
      </c>
      <c r="E90" s="2" t="s">
        <v>13</v>
      </c>
      <c r="F90" s="6" t="n">
        <f aca="false">VLOOKUP($K90,'FATURAMENTO '!$A$2:$E$302,4,FALSE())</f>
        <v>8243</v>
      </c>
      <c r="G90" s="6" t="n">
        <f aca="false">VLOOKUP($K90,'FATURAMENTO '!$A$2:$E$302,5,FALSE())</f>
        <v>5472.34</v>
      </c>
      <c r="H90" s="1" t="str">
        <f aca="false">VLOOKUP($K90,CHURN!$A$2:$E$302,4,FALSE())</f>
        <v>Ativo</v>
      </c>
      <c r="I90" s="7" t="n">
        <f aca="false">(F90-G90)/F90</f>
        <v>0.336122770835861</v>
      </c>
      <c r="J90" s="1" t="str">
        <f aca="false">IF(INDEX($I$3:$I$302,MATCH(B90,$B$3:$B$302,0))&gt;50%,"Alto valor",IF(INDEX($I$3:$I$302,MATCH(B90,$B$3:$B$302,0))&gt;=30%,"Médio valor","Baixo valor"))</f>
        <v>Baixo valor</v>
      </c>
      <c r="K90" s="0" t="str">
        <f aca="false">CONCATENATE(B90,E90)</f>
        <v>O2025-03</v>
      </c>
      <c r="L90" s="1"/>
    </row>
    <row r="91" customFormat="false" ht="14.25" hidden="false" customHeight="false" outlineLevel="0" collapsed="false">
      <c r="B91" s="1" t="s">
        <v>29</v>
      </c>
      <c r="C91" s="1" t="str">
        <f aca="false">VLOOKUP(B91,Tabela4[],2,FALSE())</f>
        <v>Pequena</v>
      </c>
      <c r="D91" s="5" t="str">
        <f aca="false">VLOOKUP(B91,Tabela4[],3,FALSE())</f>
        <v>Rio Grande do Sul</v>
      </c>
      <c r="E91" s="2" t="s">
        <v>14</v>
      </c>
      <c r="F91" s="6" t="n">
        <f aca="false">VLOOKUP($K91,'FATURAMENTO '!$A$2:$E$302,4,FALSE())</f>
        <v>45403</v>
      </c>
      <c r="G91" s="6" t="n">
        <f aca="false">VLOOKUP($K91,'FATURAMENTO '!$A$2:$E$302,5,FALSE())</f>
        <v>35689.41</v>
      </c>
      <c r="H91" s="1" t="str">
        <f aca="false">VLOOKUP($K91,CHURN!$A$2:$E$302,4,FALSE())</f>
        <v>Ativo</v>
      </c>
      <c r="I91" s="7" t="n">
        <f aca="false">(F91-G91)/F91</f>
        <v>0.213941589762791</v>
      </c>
      <c r="J91" s="1" t="str">
        <f aca="false">IF(INDEX($I$3:$I$302,MATCH(B91,$B$3:$B$302,0))&gt;50%,"Alto valor",IF(INDEX($I$3:$I$302,MATCH(B91,$B$3:$B$302,0))&gt;=30%,"Médio valor","Baixo valor"))</f>
        <v>Baixo valor</v>
      </c>
      <c r="K91" s="0" t="str">
        <f aca="false">CONCATENATE(B91,E91)</f>
        <v>O2025-04</v>
      </c>
      <c r="L91" s="1"/>
    </row>
    <row r="92" customFormat="false" ht="14.25" hidden="false" customHeight="false" outlineLevel="0" collapsed="false">
      <c r="B92" s="1" t="s">
        <v>29</v>
      </c>
      <c r="C92" s="1" t="str">
        <f aca="false">VLOOKUP(B92,Tabela4[],2,FALSE())</f>
        <v>Pequena</v>
      </c>
      <c r="D92" s="5" t="str">
        <f aca="false">VLOOKUP(B92,Tabela4[],3,FALSE())</f>
        <v>Rio Grande do Sul</v>
      </c>
      <c r="E92" s="2" t="s">
        <v>15</v>
      </c>
      <c r="F92" s="6" t="n">
        <f aca="false">VLOOKUP($K92,'FATURAMENTO '!$A$2:$E$302,4,FALSE())</f>
        <v>40794</v>
      </c>
      <c r="G92" s="6" t="n">
        <f aca="false">VLOOKUP($K92,'FATURAMENTO '!$A$2:$E$302,5,FALSE())</f>
        <v>25915.31</v>
      </c>
      <c r="H92" s="1" t="str">
        <f aca="false">VLOOKUP($K92,CHURN!$A$2:$E$302,4,FALSE())</f>
        <v>Ativo</v>
      </c>
      <c r="I92" s="7" t="n">
        <f aca="false">(F92-G92)/F92</f>
        <v>0.364727410893759</v>
      </c>
      <c r="J92" s="1" t="str">
        <f aca="false">IF(INDEX($I$3:$I$302,MATCH(B92,$B$3:$B$302,0))&gt;50%,"Alto valor",IF(INDEX($I$3:$I$302,MATCH(B92,$B$3:$B$302,0))&gt;=30%,"Médio valor","Baixo valor"))</f>
        <v>Baixo valor</v>
      </c>
      <c r="K92" s="0" t="str">
        <f aca="false">CONCATENATE(B92,E92)</f>
        <v>O2025-05</v>
      </c>
      <c r="L92" s="1"/>
    </row>
    <row r="93" customFormat="false" ht="14.25" hidden="false" customHeight="false" outlineLevel="0" collapsed="false">
      <c r="B93" s="1" t="s">
        <v>30</v>
      </c>
      <c r="C93" s="1" t="str">
        <f aca="false">VLOOKUP(B93,Tabela4[],2,FALSE())</f>
        <v>Pequena</v>
      </c>
      <c r="D93" s="5" t="str">
        <f aca="false">VLOOKUP(B93,Tabela4[],3,FALSE())</f>
        <v>Paraná</v>
      </c>
      <c r="E93" s="2" t="s">
        <v>10</v>
      </c>
      <c r="F93" s="6" t="n">
        <f aca="false">VLOOKUP($K93,'FATURAMENTO '!$A$2:$E$302,4,FALSE())</f>
        <v>26265</v>
      </c>
      <c r="G93" s="6" t="n">
        <f aca="false">VLOOKUP($K93,'FATURAMENTO '!$A$2:$E$302,5,FALSE())</f>
        <v>17618.83</v>
      </c>
      <c r="H93" s="1" t="str">
        <f aca="false">VLOOKUP($K93,CHURN!$A$2:$E$302,4,FALSE())</f>
        <v>Ativo</v>
      </c>
      <c r="I93" s="7" t="n">
        <f aca="false">(F93-G93)/F93</f>
        <v>0.329189796306872</v>
      </c>
      <c r="J93" s="1" t="str">
        <f aca="false">IF(INDEX($I$3:$I$302,MATCH(B93,$B$3:$B$302,0))&gt;50%,"Alto valor",IF(INDEX($I$3:$I$302,MATCH(B93,$B$3:$B$302,0))&gt;=30%,"Médio valor","Baixo valor"))</f>
        <v>Médio valor</v>
      </c>
      <c r="K93" s="0" t="str">
        <f aca="false">CONCATENATE(B93,E93)</f>
        <v>P2024-12</v>
      </c>
      <c r="L93" s="1"/>
    </row>
    <row r="94" customFormat="false" ht="14.25" hidden="false" customHeight="false" outlineLevel="0" collapsed="false">
      <c r="B94" s="1" t="s">
        <v>30</v>
      </c>
      <c r="C94" s="1" t="str">
        <f aca="false">VLOOKUP(B94,Tabela4[],2,FALSE())</f>
        <v>Pequena</v>
      </c>
      <c r="D94" s="5" t="str">
        <f aca="false">VLOOKUP(B94,Tabela4[],3,FALSE())</f>
        <v>Paraná</v>
      </c>
      <c r="E94" s="2" t="s">
        <v>11</v>
      </c>
      <c r="F94" s="6" t="n">
        <f aca="false">VLOOKUP($K94,'FATURAMENTO '!$A$2:$E$302,4,FALSE())</f>
        <v>34662</v>
      </c>
      <c r="G94" s="6" t="n">
        <f aca="false">VLOOKUP($K94,'FATURAMENTO '!$A$2:$E$302,5,FALSE())</f>
        <v>22451.99</v>
      </c>
      <c r="H94" s="1" t="str">
        <f aca="false">VLOOKUP($K94,CHURN!$A$2:$E$302,4,FALSE())</f>
        <v>Ativo</v>
      </c>
      <c r="I94" s="7" t="n">
        <f aca="false">(F94-G94)/F94</f>
        <v>0.35225924643702</v>
      </c>
      <c r="J94" s="1" t="str">
        <f aca="false">IF(INDEX($I$3:$I$302,MATCH(B94,$B$3:$B$302,0))&gt;50%,"Alto valor",IF(INDEX($I$3:$I$302,MATCH(B94,$B$3:$B$302,0))&gt;=30%,"Médio valor","Baixo valor"))</f>
        <v>Médio valor</v>
      </c>
      <c r="K94" s="0" t="str">
        <f aca="false">CONCATENATE(B94,E94)</f>
        <v>P2025-01</v>
      </c>
      <c r="L94" s="1"/>
    </row>
    <row r="95" customFormat="false" ht="14.25" hidden="false" customHeight="false" outlineLevel="0" collapsed="false">
      <c r="B95" s="1" t="s">
        <v>30</v>
      </c>
      <c r="C95" s="1" t="str">
        <f aca="false">VLOOKUP(B95,Tabela4[],2,FALSE())</f>
        <v>Pequena</v>
      </c>
      <c r="D95" s="5" t="str">
        <f aca="false">VLOOKUP(B95,Tabela4[],3,FALSE())</f>
        <v>Paraná</v>
      </c>
      <c r="E95" s="2" t="s">
        <v>12</v>
      </c>
      <c r="F95" s="6" t="n">
        <f aca="false">VLOOKUP($K95,'FATURAMENTO '!$A$2:$E$302,4,FALSE())</f>
        <v>45834</v>
      </c>
      <c r="G95" s="6" t="n">
        <f aca="false">VLOOKUP($K95,'FATURAMENTO '!$A$2:$E$302,5,FALSE())</f>
        <v>25153.94</v>
      </c>
      <c r="H95" s="1" t="str">
        <f aca="false">VLOOKUP($K95,CHURN!$A$2:$E$302,4,FALSE())</f>
        <v>Ativo</v>
      </c>
      <c r="I95" s="7" t="n">
        <f aca="false">(F95-G95)/F95</f>
        <v>0.451194746258236</v>
      </c>
      <c r="J95" s="1" t="str">
        <f aca="false">IF(INDEX($I$3:$I$302,MATCH(B95,$B$3:$B$302,0))&gt;50%,"Alto valor",IF(INDEX($I$3:$I$302,MATCH(B95,$B$3:$B$302,0))&gt;=30%,"Médio valor","Baixo valor"))</f>
        <v>Médio valor</v>
      </c>
      <c r="K95" s="0" t="str">
        <f aca="false">CONCATENATE(B95,E95)</f>
        <v>P2025-02</v>
      </c>
      <c r="L95" s="1"/>
    </row>
    <row r="96" customFormat="false" ht="14.25" hidden="false" customHeight="false" outlineLevel="0" collapsed="false">
      <c r="B96" s="1" t="s">
        <v>30</v>
      </c>
      <c r="C96" s="1" t="str">
        <f aca="false">VLOOKUP(B96,Tabela4[],2,FALSE())</f>
        <v>Pequena</v>
      </c>
      <c r="D96" s="5" t="str">
        <f aca="false">VLOOKUP(B96,Tabela4[],3,FALSE())</f>
        <v>Paraná</v>
      </c>
      <c r="E96" s="2" t="s">
        <v>13</v>
      </c>
      <c r="F96" s="6" t="n">
        <f aca="false">VLOOKUP($K96,'FATURAMENTO '!$A$2:$E$302,4,FALSE())</f>
        <v>17384</v>
      </c>
      <c r="G96" s="6" t="n">
        <f aca="false">VLOOKUP($K96,'FATURAMENTO '!$A$2:$E$302,5,FALSE())</f>
        <v>12393.51</v>
      </c>
      <c r="H96" s="1" t="str">
        <f aca="false">VLOOKUP($K96,CHURN!$A$2:$E$302,4,FALSE())</f>
        <v>Cancelado</v>
      </c>
      <c r="I96" s="7" t="n">
        <f aca="false">(F96-G96)/F96</f>
        <v>0.287073745973309</v>
      </c>
      <c r="J96" s="1" t="str">
        <f aca="false">IF(INDEX($I$3:$I$302,MATCH(B96,$B$3:$B$302,0))&gt;50%,"Alto valor",IF(INDEX($I$3:$I$302,MATCH(B96,$B$3:$B$302,0))&gt;=30%,"Médio valor","Baixo valor"))</f>
        <v>Médio valor</v>
      </c>
      <c r="K96" s="0" t="str">
        <f aca="false">CONCATENATE(B96,E96)</f>
        <v>P2025-03</v>
      </c>
      <c r="L96" s="1"/>
    </row>
    <row r="97" customFormat="false" ht="14.25" hidden="false" customHeight="false" outlineLevel="0" collapsed="false">
      <c r="B97" s="1" t="s">
        <v>30</v>
      </c>
      <c r="C97" s="1" t="str">
        <f aca="false">VLOOKUP(B97,Tabela4[],2,FALSE())</f>
        <v>Pequena</v>
      </c>
      <c r="D97" s="5" t="str">
        <f aca="false">VLOOKUP(B97,Tabela4[],3,FALSE())</f>
        <v>Paraná</v>
      </c>
      <c r="E97" s="2" t="s">
        <v>14</v>
      </c>
      <c r="F97" s="6" t="n">
        <f aca="false">VLOOKUP($K97,'FATURAMENTO '!$A$2:$E$302,4,FALSE())</f>
        <v>5030</v>
      </c>
      <c r="G97" s="6" t="n">
        <f aca="false">VLOOKUP($K97,'FATURAMENTO '!$A$2:$E$302,5,FALSE())</f>
        <v>3869.63</v>
      </c>
      <c r="H97" s="1" t="str">
        <f aca="false">VLOOKUP($K97,CHURN!$A$2:$E$302,4,FALSE())</f>
        <v>Cancelado</v>
      </c>
      <c r="I97" s="7" t="n">
        <f aca="false">(F97-G97)/F97</f>
        <v>0.23068986083499</v>
      </c>
      <c r="J97" s="1" t="str">
        <f aca="false">IF(INDEX($I$3:$I$302,MATCH(B97,$B$3:$B$302,0))&gt;50%,"Alto valor",IF(INDEX($I$3:$I$302,MATCH(B97,$B$3:$B$302,0))&gt;=30%,"Médio valor","Baixo valor"))</f>
        <v>Médio valor</v>
      </c>
      <c r="K97" s="0" t="str">
        <f aca="false">CONCATENATE(B97,E97)</f>
        <v>P2025-04</v>
      </c>
      <c r="L97" s="1"/>
    </row>
    <row r="98" customFormat="false" ht="14.25" hidden="false" customHeight="false" outlineLevel="0" collapsed="false">
      <c r="B98" s="1" t="s">
        <v>30</v>
      </c>
      <c r="C98" s="1" t="str">
        <f aca="false">VLOOKUP(B98,Tabela4[],2,FALSE())</f>
        <v>Pequena</v>
      </c>
      <c r="D98" s="5" t="str">
        <f aca="false">VLOOKUP(B98,Tabela4[],3,FALSE())</f>
        <v>Paraná</v>
      </c>
      <c r="E98" s="2" t="s">
        <v>15</v>
      </c>
      <c r="F98" s="6" t="n">
        <f aca="false">VLOOKUP($K98,'FATURAMENTO '!$A$2:$E$302,4,FALSE())</f>
        <v>8067</v>
      </c>
      <c r="G98" s="6" t="n">
        <f aca="false">VLOOKUP($K98,'FATURAMENTO '!$A$2:$E$302,5,FALSE())</f>
        <v>4816.6</v>
      </c>
      <c r="H98" s="1" t="str">
        <f aca="false">VLOOKUP($K98,CHURN!$A$2:$E$302,4,FALSE())</f>
        <v>Ativo</v>
      </c>
      <c r="I98" s="7" t="n">
        <f aca="false">(F98-G98)/F98</f>
        <v>0.402925498946325</v>
      </c>
      <c r="J98" s="1" t="str">
        <f aca="false">IF(INDEX($I$3:$I$302,MATCH(B98,$B$3:$B$302,0))&gt;50%,"Alto valor",IF(INDEX($I$3:$I$302,MATCH(B98,$B$3:$B$302,0))&gt;=30%,"Médio valor","Baixo valor"))</f>
        <v>Médio valor</v>
      </c>
      <c r="K98" s="0" t="str">
        <f aca="false">CONCATENATE(B98,E98)</f>
        <v>P2025-05</v>
      </c>
      <c r="L98" s="1"/>
    </row>
    <row r="99" customFormat="false" ht="14.25" hidden="false" customHeight="false" outlineLevel="0" collapsed="false">
      <c r="B99" s="1" t="s">
        <v>31</v>
      </c>
      <c r="C99" s="1" t="str">
        <f aca="false">VLOOKUP(B99,Tabela4[],2,FALSE())</f>
        <v>Grande</v>
      </c>
      <c r="D99" s="5" t="str">
        <f aca="false">VLOOKUP(B99,Tabela4[],3,FALSE())</f>
        <v>Paraná</v>
      </c>
      <c r="E99" s="2" t="s">
        <v>10</v>
      </c>
      <c r="F99" s="6" t="n">
        <f aca="false">VLOOKUP($K99,'FATURAMENTO '!$A$2:$E$302,4,FALSE())</f>
        <v>20995</v>
      </c>
      <c r="G99" s="6" t="n">
        <f aca="false">VLOOKUP($K99,'FATURAMENTO '!$A$2:$E$302,5,FALSE())</f>
        <v>10771.82</v>
      </c>
      <c r="H99" s="1" t="str">
        <f aca="false">VLOOKUP($K99,CHURN!$A$2:$E$302,4,FALSE())</f>
        <v>Ativo</v>
      </c>
      <c r="I99" s="7" t="n">
        <f aca="false">(F99-G99)/F99</f>
        <v>0.48693403191236</v>
      </c>
      <c r="J99" s="1" t="str">
        <f aca="false">IF(INDEX($I$3:$I$302,MATCH(B99,$B$3:$B$302,0))&gt;50%,"Alto valor",IF(INDEX($I$3:$I$302,MATCH(B99,$B$3:$B$302,0))&gt;=30%,"Médio valor","Baixo valor"))</f>
        <v>Médio valor</v>
      </c>
      <c r="K99" s="0" t="str">
        <f aca="false">CONCATENATE(B99,E99)</f>
        <v>Q2024-12</v>
      </c>
      <c r="L99" s="1"/>
    </row>
    <row r="100" customFormat="false" ht="14.25" hidden="false" customHeight="false" outlineLevel="0" collapsed="false">
      <c r="B100" s="1" t="s">
        <v>31</v>
      </c>
      <c r="C100" s="1" t="str">
        <f aca="false">VLOOKUP(B100,Tabela4[],2,FALSE())</f>
        <v>Grande</v>
      </c>
      <c r="D100" s="5" t="str">
        <f aca="false">VLOOKUP(B100,Tabela4[],3,FALSE())</f>
        <v>Paraná</v>
      </c>
      <c r="E100" s="2" t="s">
        <v>11</v>
      </c>
      <c r="F100" s="6" t="n">
        <f aca="false">VLOOKUP($K100,'FATURAMENTO '!$A$2:$E$302,4,FALSE())</f>
        <v>20013</v>
      </c>
      <c r="G100" s="6" t="n">
        <f aca="false">VLOOKUP($K100,'FATURAMENTO '!$A$2:$E$302,5,FALSE())</f>
        <v>10287.68</v>
      </c>
      <c r="H100" s="1" t="str">
        <f aca="false">VLOOKUP($K100,CHURN!$A$2:$E$302,4,FALSE())</f>
        <v>Ativo</v>
      </c>
      <c r="I100" s="7" t="n">
        <f aca="false">(F100-G100)/F100</f>
        <v>0.485950132413931</v>
      </c>
      <c r="J100" s="1" t="str">
        <f aca="false">IF(INDEX($I$3:$I$302,MATCH(B100,$B$3:$B$302,0))&gt;50%,"Alto valor",IF(INDEX($I$3:$I$302,MATCH(B100,$B$3:$B$302,0))&gt;=30%,"Médio valor","Baixo valor"))</f>
        <v>Médio valor</v>
      </c>
      <c r="K100" s="0" t="str">
        <f aca="false">CONCATENATE(B100,E100)</f>
        <v>Q2025-01</v>
      </c>
      <c r="L100" s="1"/>
    </row>
    <row r="101" customFormat="false" ht="14.25" hidden="false" customHeight="false" outlineLevel="0" collapsed="false">
      <c r="B101" s="1" t="s">
        <v>31</v>
      </c>
      <c r="C101" s="1" t="str">
        <f aca="false">VLOOKUP(B101,Tabela4[],2,FALSE())</f>
        <v>Grande</v>
      </c>
      <c r="D101" s="5" t="str">
        <f aca="false">VLOOKUP(B101,Tabela4[],3,FALSE())</f>
        <v>Paraná</v>
      </c>
      <c r="E101" s="2" t="s">
        <v>12</v>
      </c>
      <c r="F101" s="6" t="n">
        <f aca="false">VLOOKUP($K101,'FATURAMENTO '!$A$2:$E$302,4,FALSE())</f>
        <v>6886</v>
      </c>
      <c r="G101" s="6" t="n">
        <f aca="false">VLOOKUP($K101,'FATURAMENTO '!$A$2:$E$302,5,FALSE())</f>
        <v>4752.08</v>
      </c>
      <c r="H101" s="1" t="str">
        <f aca="false">VLOOKUP($K101,CHURN!$A$2:$E$302,4,FALSE())</f>
        <v>Ativo</v>
      </c>
      <c r="I101" s="7" t="n">
        <f aca="false">(F101-G101)/F101</f>
        <v>0.309892535579437</v>
      </c>
      <c r="J101" s="1" t="str">
        <f aca="false">IF(INDEX($I$3:$I$302,MATCH(B101,$B$3:$B$302,0))&gt;50%,"Alto valor",IF(INDEX($I$3:$I$302,MATCH(B101,$B$3:$B$302,0))&gt;=30%,"Médio valor","Baixo valor"))</f>
        <v>Médio valor</v>
      </c>
      <c r="K101" s="0" t="str">
        <f aca="false">CONCATENATE(B101,E101)</f>
        <v>Q2025-02</v>
      </c>
      <c r="L101" s="1"/>
    </row>
    <row r="102" customFormat="false" ht="14.25" hidden="false" customHeight="false" outlineLevel="0" collapsed="false">
      <c r="B102" s="1" t="s">
        <v>31</v>
      </c>
      <c r="C102" s="1" t="str">
        <f aca="false">VLOOKUP(B102,Tabela4[],2,FALSE())</f>
        <v>Grande</v>
      </c>
      <c r="D102" s="5" t="str">
        <f aca="false">VLOOKUP(B102,Tabela4[],3,FALSE())</f>
        <v>Paraná</v>
      </c>
      <c r="E102" s="2" t="s">
        <v>13</v>
      </c>
      <c r="F102" s="6" t="n">
        <f aca="false">VLOOKUP($K102,'FATURAMENTO '!$A$2:$E$302,4,FALSE())</f>
        <v>9075</v>
      </c>
      <c r="G102" s="6" t="n">
        <f aca="false">VLOOKUP($K102,'FATURAMENTO '!$A$2:$E$302,5,FALSE())</f>
        <v>5930.96</v>
      </c>
      <c r="H102" s="1" t="str">
        <f aca="false">VLOOKUP($K102,CHURN!$A$2:$E$302,4,FALSE())</f>
        <v>Ativo</v>
      </c>
      <c r="I102" s="7" t="n">
        <f aca="false">(F102-G102)/F102</f>
        <v>0.346450688705234</v>
      </c>
      <c r="J102" s="1" t="str">
        <f aca="false">IF(INDEX($I$3:$I$302,MATCH(B102,$B$3:$B$302,0))&gt;50%,"Alto valor",IF(INDEX($I$3:$I$302,MATCH(B102,$B$3:$B$302,0))&gt;=30%,"Médio valor","Baixo valor"))</f>
        <v>Médio valor</v>
      </c>
      <c r="K102" s="0" t="str">
        <f aca="false">CONCATENATE(B102,E102)</f>
        <v>Q2025-03</v>
      </c>
      <c r="L102" s="1"/>
    </row>
    <row r="103" customFormat="false" ht="14.25" hidden="false" customHeight="false" outlineLevel="0" collapsed="false">
      <c r="B103" s="1" t="s">
        <v>31</v>
      </c>
      <c r="C103" s="1" t="str">
        <f aca="false">VLOOKUP(B103,Tabela4[],2,FALSE())</f>
        <v>Grande</v>
      </c>
      <c r="D103" s="5" t="str">
        <f aca="false">VLOOKUP(B103,Tabela4[],3,FALSE())</f>
        <v>Paraná</v>
      </c>
      <c r="E103" s="2" t="s">
        <v>14</v>
      </c>
      <c r="F103" s="6" t="n">
        <f aca="false">VLOOKUP($K103,'FATURAMENTO '!$A$2:$E$302,4,FALSE())</f>
        <v>48175</v>
      </c>
      <c r="G103" s="6" t="n">
        <f aca="false">VLOOKUP($K103,'FATURAMENTO '!$A$2:$E$302,5,FALSE())</f>
        <v>29853.8</v>
      </c>
      <c r="H103" s="1" t="str">
        <f aca="false">VLOOKUP($K103,CHURN!$A$2:$E$302,4,FALSE())</f>
        <v>Ativo</v>
      </c>
      <c r="I103" s="7" t="n">
        <f aca="false">(F103-G103)/F103</f>
        <v>0.38030513751946</v>
      </c>
      <c r="J103" s="1" t="str">
        <f aca="false">IF(INDEX($I$3:$I$302,MATCH(B103,$B$3:$B$302,0))&gt;50%,"Alto valor",IF(INDEX($I$3:$I$302,MATCH(B103,$B$3:$B$302,0))&gt;=30%,"Médio valor","Baixo valor"))</f>
        <v>Médio valor</v>
      </c>
      <c r="K103" s="0" t="str">
        <f aca="false">CONCATENATE(B103,E103)</f>
        <v>Q2025-04</v>
      </c>
      <c r="L103" s="1"/>
    </row>
    <row r="104" customFormat="false" ht="14.25" hidden="false" customHeight="false" outlineLevel="0" collapsed="false">
      <c r="B104" s="1" t="s">
        <v>31</v>
      </c>
      <c r="C104" s="1" t="str">
        <f aca="false">VLOOKUP(B104,Tabela4[],2,FALSE())</f>
        <v>Grande</v>
      </c>
      <c r="D104" s="5" t="str">
        <f aca="false">VLOOKUP(B104,Tabela4[],3,FALSE())</f>
        <v>Paraná</v>
      </c>
      <c r="E104" s="2" t="s">
        <v>15</v>
      </c>
      <c r="F104" s="6" t="n">
        <f aca="false">VLOOKUP($K104,'FATURAMENTO '!$A$2:$E$302,4,FALSE())</f>
        <v>16414</v>
      </c>
      <c r="G104" s="6" t="n">
        <f aca="false">VLOOKUP($K104,'FATURAMENTO '!$A$2:$E$302,5,FALSE())</f>
        <v>9320.28</v>
      </c>
      <c r="H104" s="1" t="str">
        <f aca="false">VLOOKUP($K104,CHURN!$A$2:$E$302,4,FALSE())</f>
        <v>Ativo</v>
      </c>
      <c r="I104" s="7" t="n">
        <f aca="false">(F104-G104)/F104</f>
        <v>0.432174972584379</v>
      </c>
      <c r="J104" s="1" t="str">
        <f aca="false">IF(INDEX($I$3:$I$302,MATCH(B104,$B$3:$B$302,0))&gt;50%,"Alto valor",IF(INDEX($I$3:$I$302,MATCH(B104,$B$3:$B$302,0))&gt;=30%,"Médio valor","Baixo valor"))</f>
        <v>Médio valor</v>
      </c>
      <c r="K104" s="0" t="str">
        <f aca="false">CONCATENATE(B104,E104)</f>
        <v>Q2025-05</v>
      </c>
      <c r="L104" s="1"/>
    </row>
    <row r="105" customFormat="false" ht="14.25" hidden="false" customHeight="false" outlineLevel="0" collapsed="false">
      <c r="B105" s="1" t="s">
        <v>32</v>
      </c>
      <c r="C105" s="1" t="str">
        <f aca="false">VLOOKUP(B105,Tabela4[],2,FALSE())</f>
        <v>Grande</v>
      </c>
      <c r="D105" s="5" t="str">
        <f aca="false">VLOOKUP(B105,Tabela4[],3,FALSE())</f>
        <v>Pernambuco</v>
      </c>
      <c r="E105" s="2" t="s">
        <v>10</v>
      </c>
      <c r="F105" s="6" t="n">
        <f aca="false">VLOOKUP($K105,'FATURAMENTO '!$A$2:$E$302,4,FALSE())</f>
        <v>27340</v>
      </c>
      <c r="G105" s="6" t="n">
        <f aca="false">VLOOKUP($K105,'FATURAMENTO '!$A$2:$E$302,5,FALSE())</f>
        <v>20171.79</v>
      </c>
      <c r="H105" s="1" t="str">
        <f aca="false">VLOOKUP($K105,CHURN!$A$2:$E$302,4,FALSE())</f>
        <v>Ativo</v>
      </c>
      <c r="I105" s="7" t="n">
        <f aca="false">(F105-G105)/F105</f>
        <v>0.262187637161668</v>
      </c>
      <c r="J105" s="1" t="str">
        <f aca="false">IF(INDEX($I$3:$I$302,MATCH(B105,$B$3:$B$302,0))&gt;50%,"Alto valor",IF(INDEX($I$3:$I$302,MATCH(B105,$B$3:$B$302,0))&gt;=30%,"Médio valor","Baixo valor"))</f>
        <v>Baixo valor</v>
      </c>
      <c r="K105" s="0" t="str">
        <f aca="false">CONCATENATE(B105,E105)</f>
        <v>R2024-12</v>
      </c>
      <c r="L105" s="1"/>
    </row>
    <row r="106" customFormat="false" ht="14.25" hidden="false" customHeight="false" outlineLevel="0" collapsed="false">
      <c r="B106" s="1" t="s">
        <v>32</v>
      </c>
      <c r="C106" s="1" t="str">
        <f aca="false">VLOOKUP(B106,Tabela4[],2,FALSE())</f>
        <v>Grande</v>
      </c>
      <c r="D106" s="5" t="str">
        <f aca="false">VLOOKUP(B106,Tabela4[],3,FALSE())</f>
        <v>Pernambuco</v>
      </c>
      <c r="E106" s="2" t="s">
        <v>11</v>
      </c>
      <c r="F106" s="6" t="n">
        <f aca="false">VLOOKUP($K106,'FATURAMENTO '!$A$2:$E$302,4,FALSE())</f>
        <v>4440</v>
      </c>
      <c r="G106" s="6" t="n">
        <f aca="false">VLOOKUP($K106,'FATURAMENTO '!$A$2:$E$302,5,FALSE())</f>
        <v>2998.63</v>
      </c>
      <c r="H106" s="1" t="str">
        <f aca="false">VLOOKUP($K106,CHURN!$A$2:$E$302,4,FALSE())</f>
        <v>Ativo</v>
      </c>
      <c r="I106" s="7" t="n">
        <f aca="false">(F106-G106)/F106</f>
        <v>0.324632882882883</v>
      </c>
      <c r="J106" s="1" t="str">
        <f aca="false">IF(INDEX($I$3:$I$302,MATCH(B106,$B$3:$B$302,0))&gt;50%,"Alto valor",IF(INDEX($I$3:$I$302,MATCH(B106,$B$3:$B$302,0))&gt;=30%,"Médio valor","Baixo valor"))</f>
        <v>Baixo valor</v>
      </c>
      <c r="K106" s="0" t="str">
        <f aca="false">CONCATENATE(B106,E106)</f>
        <v>R2025-01</v>
      </c>
      <c r="L106" s="1"/>
    </row>
    <row r="107" customFormat="false" ht="14.25" hidden="false" customHeight="false" outlineLevel="0" collapsed="false">
      <c r="B107" s="1" t="s">
        <v>32</v>
      </c>
      <c r="C107" s="1" t="str">
        <f aca="false">VLOOKUP(B107,Tabela4[],2,FALSE())</f>
        <v>Grande</v>
      </c>
      <c r="D107" s="5" t="str">
        <f aca="false">VLOOKUP(B107,Tabela4[],3,FALSE())</f>
        <v>Pernambuco</v>
      </c>
      <c r="E107" s="2" t="s">
        <v>12</v>
      </c>
      <c r="F107" s="6" t="n">
        <f aca="false">VLOOKUP($K107,'FATURAMENTO '!$A$2:$E$302,4,FALSE())</f>
        <v>19562</v>
      </c>
      <c r="G107" s="6" t="n">
        <f aca="false">VLOOKUP($K107,'FATURAMENTO '!$A$2:$E$302,5,FALSE())</f>
        <v>13386.39</v>
      </c>
      <c r="H107" s="1" t="str">
        <f aca="false">VLOOKUP($K107,CHURN!$A$2:$E$302,4,FALSE())</f>
        <v>Ativo</v>
      </c>
      <c r="I107" s="7" t="n">
        <f aca="false">(F107-G107)/F107</f>
        <v>0.315694203046723</v>
      </c>
      <c r="J107" s="1" t="str">
        <f aca="false">IF(INDEX($I$3:$I$302,MATCH(B107,$B$3:$B$302,0))&gt;50%,"Alto valor",IF(INDEX($I$3:$I$302,MATCH(B107,$B$3:$B$302,0))&gt;=30%,"Médio valor","Baixo valor"))</f>
        <v>Baixo valor</v>
      </c>
      <c r="K107" s="0" t="str">
        <f aca="false">CONCATENATE(B107,E107)</f>
        <v>R2025-02</v>
      </c>
      <c r="L107" s="1"/>
    </row>
    <row r="108" customFormat="false" ht="14.25" hidden="false" customHeight="false" outlineLevel="0" collapsed="false">
      <c r="B108" s="1" t="s">
        <v>32</v>
      </c>
      <c r="C108" s="1" t="str">
        <f aca="false">VLOOKUP(B108,Tabela4[],2,FALSE())</f>
        <v>Grande</v>
      </c>
      <c r="D108" s="5" t="str">
        <f aca="false">VLOOKUP(B108,Tabela4[],3,FALSE())</f>
        <v>Pernambuco</v>
      </c>
      <c r="E108" s="2" t="s">
        <v>13</v>
      </c>
      <c r="F108" s="6" t="n">
        <f aca="false">VLOOKUP($K108,'FATURAMENTO '!$A$2:$E$302,4,FALSE())</f>
        <v>28803</v>
      </c>
      <c r="G108" s="6" t="n">
        <f aca="false">VLOOKUP($K108,'FATURAMENTO '!$A$2:$E$302,5,FALSE())</f>
        <v>19236.2</v>
      </c>
      <c r="H108" s="1" t="str">
        <f aca="false">VLOOKUP($K108,CHURN!$A$2:$E$302,4,FALSE())</f>
        <v>Cancelado</v>
      </c>
      <c r="I108" s="7" t="n">
        <f aca="false">(F108-G108)/F108</f>
        <v>0.332145957018366</v>
      </c>
      <c r="J108" s="1" t="str">
        <f aca="false">IF(INDEX($I$3:$I$302,MATCH(B108,$B$3:$B$302,0))&gt;50%,"Alto valor",IF(INDEX($I$3:$I$302,MATCH(B108,$B$3:$B$302,0))&gt;=30%,"Médio valor","Baixo valor"))</f>
        <v>Baixo valor</v>
      </c>
      <c r="K108" s="0" t="str">
        <f aca="false">CONCATENATE(B108,E108)</f>
        <v>R2025-03</v>
      </c>
      <c r="L108" s="1"/>
    </row>
    <row r="109" customFormat="false" ht="14.25" hidden="false" customHeight="false" outlineLevel="0" collapsed="false">
      <c r="B109" s="1" t="s">
        <v>32</v>
      </c>
      <c r="C109" s="1" t="str">
        <f aca="false">VLOOKUP(B109,Tabela4[],2,FALSE())</f>
        <v>Grande</v>
      </c>
      <c r="D109" s="5" t="str">
        <f aca="false">VLOOKUP(B109,Tabela4[],3,FALSE())</f>
        <v>Pernambuco</v>
      </c>
      <c r="E109" s="2" t="s">
        <v>14</v>
      </c>
      <c r="F109" s="6" t="n">
        <f aca="false">VLOOKUP($K109,'FATURAMENTO '!$A$2:$E$302,4,FALSE())</f>
        <v>4109</v>
      </c>
      <c r="G109" s="6" t="n">
        <f aca="false">VLOOKUP($K109,'FATURAMENTO '!$A$2:$E$302,5,FALSE())</f>
        <v>2744.43</v>
      </c>
      <c r="H109" s="1" t="str">
        <f aca="false">VLOOKUP($K109,CHURN!$A$2:$E$302,4,FALSE())</f>
        <v>Ativo</v>
      </c>
      <c r="I109" s="7" t="n">
        <f aca="false">(F109-G109)/F109</f>
        <v>0.332092966658554</v>
      </c>
      <c r="J109" s="1" t="str">
        <f aca="false">IF(INDEX($I$3:$I$302,MATCH(B109,$B$3:$B$302,0))&gt;50%,"Alto valor",IF(INDEX($I$3:$I$302,MATCH(B109,$B$3:$B$302,0))&gt;=30%,"Médio valor","Baixo valor"))</f>
        <v>Baixo valor</v>
      </c>
      <c r="K109" s="0" t="str">
        <f aca="false">CONCATENATE(B109,E109)</f>
        <v>R2025-04</v>
      </c>
      <c r="L109" s="1"/>
    </row>
    <row r="110" customFormat="false" ht="14.25" hidden="false" customHeight="false" outlineLevel="0" collapsed="false">
      <c r="B110" s="1" t="s">
        <v>32</v>
      </c>
      <c r="C110" s="1" t="str">
        <f aca="false">VLOOKUP(B110,Tabela4[],2,FALSE())</f>
        <v>Grande</v>
      </c>
      <c r="D110" s="5" t="str">
        <f aca="false">VLOOKUP(B110,Tabela4[],3,FALSE())</f>
        <v>Pernambuco</v>
      </c>
      <c r="E110" s="2" t="s">
        <v>15</v>
      </c>
      <c r="F110" s="6" t="n">
        <f aca="false">VLOOKUP($K110,'FATURAMENTO '!$A$2:$E$302,4,FALSE())</f>
        <v>31357</v>
      </c>
      <c r="G110" s="6" t="n">
        <f aca="false">VLOOKUP($K110,'FATURAMENTO '!$A$2:$E$302,5,FALSE())</f>
        <v>16100.28</v>
      </c>
      <c r="H110" s="1" t="str">
        <f aca="false">VLOOKUP($K110,CHURN!$A$2:$E$302,4,FALSE())</f>
        <v>Ativo</v>
      </c>
      <c r="I110" s="7" t="n">
        <f aca="false">(F110-G110)/F110</f>
        <v>0.486549095895653</v>
      </c>
      <c r="J110" s="1" t="str">
        <f aca="false">IF(INDEX($I$3:$I$302,MATCH(B110,$B$3:$B$302,0))&gt;50%,"Alto valor",IF(INDEX($I$3:$I$302,MATCH(B110,$B$3:$B$302,0))&gt;=30%,"Médio valor","Baixo valor"))</f>
        <v>Baixo valor</v>
      </c>
      <c r="K110" s="0" t="str">
        <f aca="false">CONCATENATE(B110,E110)</f>
        <v>R2025-05</v>
      </c>
      <c r="L110" s="1"/>
    </row>
    <row r="111" customFormat="false" ht="14.25" hidden="false" customHeight="false" outlineLevel="0" collapsed="false">
      <c r="B111" s="1" t="s">
        <v>33</v>
      </c>
      <c r="C111" s="1" t="str">
        <f aca="false">VLOOKUP(B111,Tabela4[],2,FALSE())</f>
        <v>Pequena</v>
      </c>
      <c r="D111" s="5" t="str">
        <f aca="false">VLOOKUP(B111,Tabela4[],3,FALSE())</f>
        <v>Ceará</v>
      </c>
      <c r="E111" s="2" t="s">
        <v>10</v>
      </c>
      <c r="F111" s="6" t="n">
        <f aca="false">VLOOKUP($K111,'FATURAMENTO '!$A$2:$E$302,4,FALSE())</f>
        <v>41566</v>
      </c>
      <c r="G111" s="6" t="n">
        <f aca="false">VLOOKUP($K111,'FATURAMENTO '!$A$2:$E$302,5,FALSE())</f>
        <v>32942.39</v>
      </c>
      <c r="H111" s="1" t="str">
        <f aca="false">VLOOKUP($K111,CHURN!$A$2:$E$302,4,FALSE())</f>
        <v>Cancelado</v>
      </c>
      <c r="I111" s="7" t="n">
        <f aca="false">(F111-G111)/F111</f>
        <v>0.207467882403888</v>
      </c>
      <c r="J111" s="1" t="str">
        <f aca="false">IF(INDEX($I$3:$I$302,MATCH(B111,$B$3:$B$302,0))&gt;50%,"Alto valor",IF(INDEX($I$3:$I$302,MATCH(B111,$B$3:$B$302,0))&gt;=30%,"Médio valor","Baixo valor"))</f>
        <v>Baixo valor</v>
      </c>
      <c r="K111" s="0" t="str">
        <f aca="false">CONCATENATE(B111,E111)</f>
        <v>S2024-12</v>
      </c>
      <c r="L111" s="1"/>
    </row>
    <row r="112" customFormat="false" ht="14.25" hidden="false" customHeight="false" outlineLevel="0" collapsed="false">
      <c r="B112" s="1" t="s">
        <v>33</v>
      </c>
      <c r="C112" s="1" t="str">
        <f aca="false">VLOOKUP(B112,Tabela4[],2,FALSE())</f>
        <v>Pequena</v>
      </c>
      <c r="D112" s="5" t="str">
        <f aca="false">VLOOKUP(B112,Tabela4[],3,FALSE())</f>
        <v>Ceará</v>
      </c>
      <c r="E112" s="2" t="s">
        <v>11</v>
      </c>
      <c r="F112" s="6" t="n">
        <f aca="false">VLOOKUP($K112,'FATURAMENTO '!$A$2:$E$302,4,FALSE())</f>
        <v>28545</v>
      </c>
      <c r="G112" s="6" t="n">
        <f aca="false">VLOOKUP($K112,'FATURAMENTO '!$A$2:$E$302,5,FALSE())</f>
        <v>16020.18</v>
      </c>
      <c r="H112" s="1" t="str">
        <f aca="false">VLOOKUP($K112,CHURN!$A$2:$E$302,4,FALSE())</f>
        <v>Cancelado</v>
      </c>
      <c r="I112" s="7" t="n">
        <f aca="false">(F112-G112)/F112</f>
        <v>0.438774566473988</v>
      </c>
      <c r="J112" s="1" t="str">
        <f aca="false">IF(INDEX($I$3:$I$302,MATCH(B112,$B$3:$B$302,0))&gt;50%,"Alto valor",IF(INDEX($I$3:$I$302,MATCH(B112,$B$3:$B$302,0))&gt;=30%,"Médio valor","Baixo valor"))</f>
        <v>Baixo valor</v>
      </c>
      <c r="K112" s="0" t="str">
        <f aca="false">CONCATENATE(B112,E112)</f>
        <v>S2025-01</v>
      </c>
      <c r="L112" s="1"/>
    </row>
    <row r="113" customFormat="false" ht="14.25" hidden="false" customHeight="false" outlineLevel="0" collapsed="false">
      <c r="B113" s="1" t="s">
        <v>33</v>
      </c>
      <c r="C113" s="1" t="str">
        <f aca="false">VLOOKUP(B113,Tabela4[],2,FALSE())</f>
        <v>Pequena</v>
      </c>
      <c r="D113" s="5" t="str">
        <f aca="false">VLOOKUP(B113,Tabela4[],3,FALSE())</f>
        <v>Ceará</v>
      </c>
      <c r="E113" s="2" t="s">
        <v>12</v>
      </c>
      <c r="F113" s="6" t="n">
        <f aca="false">VLOOKUP($K113,'FATURAMENTO '!$A$2:$E$302,4,FALSE())</f>
        <v>41648</v>
      </c>
      <c r="G113" s="6" t="n">
        <f aca="false">VLOOKUP($K113,'FATURAMENTO '!$A$2:$E$302,5,FALSE())</f>
        <v>29490.26</v>
      </c>
      <c r="H113" s="1" t="str">
        <f aca="false">VLOOKUP($K113,CHURN!$A$2:$E$302,4,FALSE())</f>
        <v>Ativo</v>
      </c>
      <c r="I113" s="7" t="n">
        <f aca="false">(F113-G113)/F113</f>
        <v>0.291916538609297</v>
      </c>
      <c r="J113" s="1" t="str">
        <f aca="false">IF(INDEX($I$3:$I$302,MATCH(B113,$B$3:$B$302,0))&gt;50%,"Alto valor",IF(INDEX($I$3:$I$302,MATCH(B113,$B$3:$B$302,0))&gt;=30%,"Médio valor","Baixo valor"))</f>
        <v>Baixo valor</v>
      </c>
      <c r="K113" s="0" t="str">
        <f aca="false">CONCATENATE(B113,E113)</f>
        <v>S2025-02</v>
      </c>
      <c r="L113" s="1"/>
    </row>
    <row r="114" customFormat="false" ht="14.25" hidden="false" customHeight="false" outlineLevel="0" collapsed="false">
      <c r="B114" s="1" t="s">
        <v>33</v>
      </c>
      <c r="C114" s="1" t="str">
        <f aca="false">VLOOKUP(B114,Tabela4[],2,FALSE())</f>
        <v>Pequena</v>
      </c>
      <c r="D114" s="5" t="str">
        <f aca="false">VLOOKUP(B114,Tabela4[],3,FALSE())</f>
        <v>Ceará</v>
      </c>
      <c r="E114" s="2" t="s">
        <v>13</v>
      </c>
      <c r="F114" s="6" t="n">
        <f aca="false">VLOOKUP($K114,'FATURAMENTO '!$A$2:$E$302,4,FALSE())</f>
        <v>32796</v>
      </c>
      <c r="G114" s="6" t="n">
        <f aca="false">VLOOKUP($K114,'FATURAMENTO '!$A$2:$E$302,5,FALSE())</f>
        <v>18084.97</v>
      </c>
      <c r="H114" s="1" t="str">
        <f aca="false">VLOOKUP($K114,CHURN!$A$2:$E$302,4,FALSE())</f>
        <v>Ativo</v>
      </c>
      <c r="I114" s="7" t="n">
        <f aca="false">(F114-G114)/F114</f>
        <v>0.448561714843274</v>
      </c>
      <c r="J114" s="1" t="str">
        <f aca="false">IF(INDEX($I$3:$I$302,MATCH(B114,$B$3:$B$302,0))&gt;50%,"Alto valor",IF(INDEX($I$3:$I$302,MATCH(B114,$B$3:$B$302,0))&gt;=30%,"Médio valor","Baixo valor"))</f>
        <v>Baixo valor</v>
      </c>
      <c r="K114" s="0" t="str">
        <f aca="false">CONCATENATE(B114,E114)</f>
        <v>S2025-03</v>
      </c>
      <c r="L114" s="1"/>
    </row>
    <row r="115" customFormat="false" ht="14.25" hidden="false" customHeight="false" outlineLevel="0" collapsed="false">
      <c r="B115" s="1" t="s">
        <v>33</v>
      </c>
      <c r="C115" s="1" t="str">
        <f aca="false">VLOOKUP(B115,Tabela4[],2,FALSE())</f>
        <v>Pequena</v>
      </c>
      <c r="D115" s="5" t="str">
        <f aca="false">VLOOKUP(B115,Tabela4[],3,FALSE())</f>
        <v>Ceará</v>
      </c>
      <c r="E115" s="2" t="s">
        <v>14</v>
      </c>
      <c r="F115" s="6" t="n">
        <f aca="false">VLOOKUP($K115,'FATURAMENTO '!$A$2:$E$302,4,FALSE())</f>
        <v>34248</v>
      </c>
      <c r="G115" s="6" t="n">
        <f aca="false">VLOOKUP($K115,'FATURAMENTO '!$A$2:$E$302,5,FALSE())</f>
        <v>24271.84</v>
      </c>
      <c r="H115" s="1" t="str">
        <f aca="false">VLOOKUP($K115,CHURN!$A$2:$E$302,4,FALSE())</f>
        <v>Ativo</v>
      </c>
      <c r="I115" s="7" t="n">
        <f aca="false">(F115-G115)/F115</f>
        <v>0.291291754263023</v>
      </c>
      <c r="J115" s="1" t="str">
        <f aca="false">IF(INDEX($I$3:$I$302,MATCH(B115,$B$3:$B$302,0))&gt;50%,"Alto valor",IF(INDEX($I$3:$I$302,MATCH(B115,$B$3:$B$302,0))&gt;=30%,"Médio valor","Baixo valor"))</f>
        <v>Baixo valor</v>
      </c>
      <c r="K115" s="0" t="str">
        <f aca="false">CONCATENATE(B115,E115)</f>
        <v>S2025-04</v>
      </c>
      <c r="L115" s="1"/>
    </row>
    <row r="116" customFormat="false" ht="14.25" hidden="false" customHeight="false" outlineLevel="0" collapsed="false">
      <c r="B116" s="1" t="s">
        <v>33</v>
      </c>
      <c r="C116" s="1" t="str">
        <f aca="false">VLOOKUP(B116,Tabela4[],2,FALSE())</f>
        <v>Pequena</v>
      </c>
      <c r="D116" s="5" t="str">
        <f aca="false">VLOOKUP(B116,Tabela4[],3,FALSE())</f>
        <v>Ceará</v>
      </c>
      <c r="E116" s="2" t="s">
        <v>15</v>
      </c>
      <c r="F116" s="6" t="n">
        <f aca="false">VLOOKUP($K116,'FATURAMENTO '!$A$2:$E$302,4,FALSE())</f>
        <v>44925</v>
      </c>
      <c r="G116" s="6" t="n">
        <f aca="false">VLOOKUP($K116,'FATURAMENTO '!$A$2:$E$302,5,FALSE())</f>
        <v>29388.29</v>
      </c>
      <c r="H116" s="1" t="str">
        <f aca="false">VLOOKUP($K116,CHURN!$A$2:$E$302,4,FALSE())</f>
        <v>Ativo</v>
      </c>
      <c r="I116" s="7" t="n">
        <f aca="false">(F116-G116)/F116</f>
        <v>0.345836616583194</v>
      </c>
      <c r="J116" s="1" t="str">
        <f aca="false">IF(INDEX($I$3:$I$302,MATCH(B116,$B$3:$B$302,0))&gt;50%,"Alto valor",IF(INDEX($I$3:$I$302,MATCH(B116,$B$3:$B$302,0))&gt;=30%,"Médio valor","Baixo valor"))</f>
        <v>Baixo valor</v>
      </c>
      <c r="K116" s="0" t="str">
        <f aca="false">CONCATENATE(B116,E116)</f>
        <v>S2025-05</v>
      </c>
      <c r="L116" s="1"/>
    </row>
    <row r="117" customFormat="false" ht="14.25" hidden="false" customHeight="false" outlineLevel="0" collapsed="false">
      <c r="B117" s="1" t="s">
        <v>34</v>
      </c>
      <c r="C117" s="1" t="str">
        <f aca="false">VLOOKUP(B117,Tabela4[],2,FALSE())</f>
        <v>Média</v>
      </c>
      <c r="D117" s="5" t="str">
        <f aca="false">VLOOKUP(B117,Tabela4[],3,FALSE())</f>
        <v>Rio Grande do Sul</v>
      </c>
      <c r="E117" s="2" t="s">
        <v>10</v>
      </c>
      <c r="F117" s="6" t="n">
        <f aca="false">VLOOKUP($K117,'FATURAMENTO '!$A$2:$E$302,4,FALSE())</f>
        <v>48541</v>
      </c>
      <c r="G117" s="6" t="n">
        <f aca="false">VLOOKUP($K117,'FATURAMENTO '!$A$2:$E$302,5,FALSE())</f>
        <v>36120.78</v>
      </c>
      <c r="H117" s="1" t="str">
        <f aca="false">VLOOKUP($K117,CHURN!$A$2:$E$302,4,FALSE())</f>
        <v>Cancelado</v>
      </c>
      <c r="I117" s="7" t="n">
        <f aca="false">(F117-G117)/F117</f>
        <v>0.255870707237181</v>
      </c>
      <c r="J117" s="1" t="str">
        <f aca="false">IF(INDEX($I$3:$I$302,MATCH(B117,$B$3:$B$302,0))&gt;50%,"Alto valor",IF(INDEX($I$3:$I$302,MATCH(B117,$B$3:$B$302,0))&gt;=30%,"Médio valor","Baixo valor"))</f>
        <v>Baixo valor</v>
      </c>
      <c r="K117" s="0" t="str">
        <f aca="false">CONCATENATE(B117,E117)</f>
        <v>T2024-12</v>
      </c>
      <c r="L117" s="1"/>
    </row>
    <row r="118" customFormat="false" ht="14.25" hidden="false" customHeight="false" outlineLevel="0" collapsed="false">
      <c r="B118" s="1" t="s">
        <v>34</v>
      </c>
      <c r="C118" s="1" t="str">
        <f aca="false">VLOOKUP(B118,Tabela4[],2,FALSE())</f>
        <v>Média</v>
      </c>
      <c r="D118" s="5" t="str">
        <f aca="false">VLOOKUP(B118,Tabela4[],3,FALSE())</f>
        <v>Rio Grande do Sul</v>
      </c>
      <c r="E118" s="2" t="s">
        <v>11</v>
      </c>
      <c r="F118" s="6" t="n">
        <f aca="false">VLOOKUP($K118,'FATURAMENTO '!$A$2:$E$302,4,FALSE())</f>
        <v>35551</v>
      </c>
      <c r="G118" s="6" t="n">
        <f aca="false">VLOOKUP($K118,'FATURAMENTO '!$A$2:$E$302,5,FALSE())</f>
        <v>17828.69</v>
      </c>
      <c r="H118" s="1" t="str">
        <f aca="false">VLOOKUP($K118,CHURN!$A$2:$E$302,4,FALSE())</f>
        <v>Ativo</v>
      </c>
      <c r="I118" s="7" t="n">
        <f aca="false">(F118-G118)/F118</f>
        <v>0.498503839554443</v>
      </c>
      <c r="J118" s="1" t="str">
        <f aca="false">IF(INDEX($I$3:$I$302,MATCH(B118,$B$3:$B$302,0))&gt;50%,"Alto valor",IF(INDEX($I$3:$I$302,MATCH(B118,$B$3:$B$302,0))&gt;=30%,"Médio valor","Baixo valor"))</f>
        <v>Baixo valor</v>
      </c>
      <c r="K118" s="0" t="str">
        <f aca="false">CONCATENATE(B118,E118)</f>
        <v>T2025-01</v>
      </c>
      <c r="L118" s="1"/>
    </row>
    <row r="119" customFormat="false" ht="14.25" hidden="false" customHeight="false" outlineLevel="0" collapsed="false">
      <c r="B119" s="1" t="s">
        <v>34</v>
      </c>
      <c r="C119" s="1" t="str">
        <f aca="false">VLOOKUP(B119,Tabela4[],2,FALSE())</f>
        <v>Média</v>
      </c>
      <c r="D119" s="5" t="str">
        <f aca="false">VLOOKUP(B119,Tabela4[],3,FALSE())</f>
        <v>Rio Grande do Sul</v>
      </c>
      <c r="E119" s="2" t="s">
        <v>12</v>
      </c>
      <c r="F119" s="6" t="n">
        <f aca="false">VLOOKUP($K119,'FATURAMENTO '!$A$2:$E$302,4,FALSE())</f>
        <v>17876</v>
      </c>
      <c r="G119" s="6" t="n">
        <f aca="false">VLOOKUP($K119,'FATURAMENTO '!$A$2:$E$302,5,FALSE())</f>
        <v>9630.52</v>
      </c>
      <c r="H119" s="1" t="str">
        <f aca="false">VLOOKUP($K119,CHURN!$A$2:$E$302,4,FALSE())</f>
        <v>Ativo</v>
      </c>
      <c r="I119" s="7" t="n">
        <f aca="false">(F119-G119)/F119</f>
        <v>0.461259789662117</v>
      </c>
      <c r="J119" s="1" t="str">
        <f aca="false">IF(INDEX($I$3:$I$302,MATCH(B119,$B$3:$B$302,0))&gt;50%,"Alto valor",IF(INDEX($I$3:$I$302,MATCH(B119,$B$3:$B$302,0))&gt;=30%,"Médio valor","Baixo valor"))</f>
        <v>Baixo valor</v>
      </c>
      <c r="K119" s="0" t="str">
        <f aca="false">CONCATENATE(B119,E119)</f>
        <v>T2025-02</v>
      </c>
      <c r="L119" s="1"/>
    </row>
    <row r="120" customFormat="false" ht="14.25" hidden="false" customHeight="false" outlineLevel="0" collapsed="false">
      <c r="B120" s="1" t="s">
        <v>34</v>
      </c>
      <c r="C120" s="1" t="str">
        <f aca="false">VLOOKUP(B120,Tabela4[],2,FALSE())</f>
        <v>Média</v>
      </c>
      <c r="D120" s="5" t="str">
        <f aca="false">VLOOKUP(B120,Tabela4[],3,FALSE())</f>
        <v>Rio Grande do Sul</v>
      </c>
      <c r="E120" s="2" t="s">
        <v>13</v>
      </c>
      <c r="F120" s="6" t="n">
        <f aca="false">VLOOKUP($K120,'FATURAMENTO '!$A$2:$E$302,4,FALSE())</f>
        <v>47298</v>
      </c>
      <c r="G120" s="6" t="n">
        <f aca="false">VLOOKUP($K120,'FATURAMENTO '!$A$2:$E$302,5,FALSE())</f>
        <v>33202.06</v>
      </c>
      <c r="H120" s="1" t="str">
        <f aca="false">VLOOKUP($K120,CHURN!$A$2:$E$302,4,FALSE())</f>
        <v>Cancelado</v>
      </c>
      <c r="I120" s="7" t="n">
        <f aca="false">(F120-G120)/F120</f>
        <v>0.298024017928877</v>
      </c>
      <c r="J120" s="1" t="str">
        <f aca="false">IF(INDEX($I$3:$I$302,MATCH(B120,$B$3:$B$302,0))&gt;50%,"Alto valor",IF(INDEX($I$3:$I$302,MATCH(B120,$B$3:$B$302,0))&gt;=30%,"Médio valor","Baixo valor"))</f>
        <v>Baixo valor</v>
      </c>
      <c r="K120" s="0" t="str">
        <f aca="false">CONCATENATE(B120,E120)</f>
        <v>T2025-03</v>
      </c>
      <c r="L120" s="1"/>
    </row>
    <row r="121" customFormat="false" ht="14.25" hidden="false" customHeight="false" outlineLevel="0" collapsed="false">
      <c r="B121" s="1" t="s">
        <v>34</v>
      </c>
      <c r="C121" s="1" t="str">
        <f aca="false">VLOOKUP(B121,Tabela4[],2,FALSE())</f>
        <v>Média</v>
      </c>
      <c r="D121" s="5" t="str">
        <f aca="false">VLOOKUP(B121,Tabela4[],3,FALSE())</f>
        <v>Rio Grande do Sul</v>
      </c>
      <c r="E121" s="2" t="s">
        <v>14</v>
      </c>
      <c r="F121" s="6" t="n">
        <f aca="false">VLOOKUP($K121,'FATURAMENTO '!$A$2:$E$302,4,FALSE())</f>
        <v>35483</v>
      </c>
      <c r="G121" s="6" t="n">
        <f aca="false">VLOOKUP($K121,'FATURAMENTO '!$A$2:$E$302,5,FALSE())</f>
        <v>21822.63</v>
      </c>
      <c r="H121" s="1" t="str">
        <f aca="false">VLOOKUP($K121,CHURN!$A$2:$E$302,4,FALSE())</f>
        <v>Ativo</v>
      </c>
      <c r="I121" s="7" t="n">
        <f aca="false">(F121-G121)/F121</f>
        <v>0.384983513231688</v>
      </c>
      <c r="J121" s="1" t="str">
        <f aca="false">IF(INDEX($I$3:$I$302,MATCH(B121,$B$3:$B$302,0))&gt;50%,"Alto valor",IF(INDEX($I$3:$I$302,MATCH(B121,$B$3:$B$302,0))&gt;=30%,"Médio valor","Baixo valor"))</f>
        <v>Baixo valor</v>
      </c>
      <c r="K121" s="0" t="str">
        <f aca="false">CONCATENATE(B121,E121)</f>
        <v>T2025-04</v>
      </c>
      <c r="L121" s="1"/>
    </row>
    <row r="122" customFormat="false" ht="14.25" hidden="false" customHeight="false" outlineLevel="0" collapsed="false">
      <c r="B122" s="1" t="s">
        <v>34</v>
      </c>
      <c r="C122" s="1" t="str">
        <f aca="false">VLOOKUP(B122,Tabela4[],2,FALSE())</f>
        <v>Média</v>
      </c>
      <c r="D122" s="5" t="str">
        <f aca="false">VLOOKUP(B122,Tabela4[],3,FALSE())</f>
        <v>Rio Grande do Sul</v>
      </c>
      <c r="E122" s="2" t="s">
        <v>15</v>
      </c>
      <c r="F122" s="6" t="n">
        <f aca="false">VLOOKUP($K122,'FATURAMENTO '!$A$2:$E$302,4,FALSE())</f>
        <v>45775</v>
      </c>
      <c r="G122" s="6" t="n">
        <f aca="false">VLOOKUP($K122,'FATURAMENTO '!$A$2:$E$302,5,FALSE())</f>
        <v>24058.34</v>
      </c>
      <c r="H122" s="1" t="str">
        <f aca="false">VLOOKUP($K122,CHURN!$A$2:$E$302,4,FALSE())</f>
        <v>Ativo</v>
      </c>
      <c r="I122" s="7" t="n">
        <f aca="false">(F122-G122)/F122</f>
        <v>0.4744218459858</v>
      </c>
      <c r="J122" s="1" t="str">
        <f aca="false">IF(INDEX($I$3:$I$302,MATCH(B122,$B$3:$B$302,0))&gt;50%,"Alto valor",IF(INDEX($I$3:$I$302,MATCH(B122,$B$3:$B$302,0))&gt;=30%,"Médio valor","Baixo valor"))</f>
        <v>Baixo valor</v>
      </c>
      <c r="K122" s="0" t="str">
        <f aca="false">CONCATENATE(B122,E122)</f>
        <v>T2025-05</v>
      </c>
      <c r="L122" s="1"/>
    </row>
    <row r="123" customFormat="false" ht="14.25" hidden="false" customHeight="false" outlineLevel="0" collapsed="false">
      <c r="B123" s="1" t="s">
        <v>35</v>
      </c>
      <c r="C123" s="1" t="str">
        <f aca="false">VLOOKUP(B123,Tabela4[],2,FALSE())</f>
        <v>Média</v>
      </c>
      <c r="D123" s="5" t="str">
        <f aca="false">VLOOKUP(B123,Tabela4[],3,FALSE())</f>
        <v>Rio Grande do Sul</v>
      </c>
      <c r="E123" s="2" t="s">
        <v>10</v>
      </c>
      <c r="F123" s="6" t="n">
        <f aca="false">VLOOKUP($K123,'FATURAMENTO '!$A$2:$E$302,4,FALSE())</f>
        <v>41749</v>
      </c>
      <c r="G123" s="6" t="n">
        <f aca="false">VLOOKUP($K123,'FATURAMENTO '!$A$2:$E$302,5,FALSE())</f>
        <v>22746.78</v>
      </c>
      <c r="H123" s="1" t="str">
        <f aca="false">VLOOKUP($K123,CHURN!$A$2:$E$302,4,FALSE())</f>
        <v>Ativo</v>
      </c>
      <c r="I123" s="7" t="n">
        <f aca="false">(F123-G123)/F123</f>
        <v>0.455153895901698</v>
      </c>
      <c r="J123" s="1" t="str">
        <f aca="false">IF(INDEX($I$3:$I$302,MATCH(B123,$B$3:$B$302,0))&gt;50%,"Alto valor",IF(INDEX($I$3:$I$302,MATCH(B123,$B$3:$B$302,0))&gt;=30%,"Médio valor","Baixo valor"))</f>
        <v>Médio valor</v>
      </c>
      <c r="K123" s="0" t="str">
        <f aca="false">CONCATENATE(B123,E123)</f>
        <v>U2024-12</v>
      </c>
      <c r="L123" s="1"/>
    </row>
    <row r="124" customFormat="false" ht="14.25" hidden="false" customHeight="false" outlineLevel="0" collapsed="false">
      <c r="B124" s="1" t="s">
        <v>35</v>
      </c>
      <c r="C124" s="1" t="str">
        <f aca="false">VLOOKUP(B124,Tabela4[],2,FALSE())</f>
        <v>Média</v>
      </c>
      <c r="D124" s="5" t="str">
        <f aca="false">VLOOKUP(B124,Tabela4[],3,FALSE())</f>
        <v>Rio Grande do Sul</v>
      </c>
      <c r="E124" s="2" t="s">
        <v>11</v>
      </c>
      <c r="F124" s="6" t="n">
        <f aca="false">VLOOKUP($K124,'FATURAMENTO '!$A$2:$E$302,4,FALSE())</f>
        <v>47188</v>
      </c>
      <c r="G124" s="6" t="n">
        <f aca="false">VLOOKUP($K124,'FATURAMENTO '!$A$2:$E$302,5,FALSE())</f>
        <v>26456.58</v>
      </c>
      <c r="H124" s="1" t="str">
        <f aca="false">VLOOKUP($K124,CHURN!$A$2:$E$302,4,FALSE())</f>
        <v>Ativo</v>
      </c>
      <c r="I124" s="7" t="n">
        <f aca="false">(F124-G124)/F124</f>
        <v>0.439336695770111</v>
      </c>
      <c r="J124" s="1" t="str">
        <f aca="false">IF(INDEX($I$3:$I$302,MATCH(B124,$B$3:$B$302,0))&gt;50%,"Alto valor",IF(INDEX($I$3:$I$302,MATCH(B124,$B$3:$B$302,0))&gt;=30%,"Médio valor","Baixo valor"))</f>
        <v>Médio valor</v>
      </c>
      <c r="K124" s="0" t="str">
        <f aca="false">CONCATENATE(B124,E124)</f>
        <v>U2025-01</v>
      </c>
      <c r="L124" s="1"/>
    </row>
    <row r="125" customFormat="false" ht="14.25" hidden="false" customHeight="false" outlineLevel="0" collapsed="false">
      <c r="B125" s="1" t="s">
        <v>35</v>
      </c>
      <c r="C125" s="1" t="str">
        <f aca="false">VLOOKUP(B125,Tabela4[],2,FALSE())</f>
        <v>Média</v>
      </c>
      <c r="D125" s="5" t="str">
        <f aca="false">VLOOKUP(B125,Tabela4[],3,FALSE())</f>
        <v>Rio Grande do Sul</v>
      </c>
      <c r="E125" s="2" t="s">
        <v>12</v>
      </c>
      <c r="F125" s="6" t="n">
        <f aca="false">VLOOKUP($K125,'FATURAMENTO '!$A$2:$E$302,4,FALSE())</f>
        <v>6239</v>
      </c>
      <c r="G125" s="6" t="n">
        <f aca="false">VLOOKUP($K125,'FATURAMENTO '!$A$2:$E$302,5,FALSE())</f>
        <v>3881.52</v>
      </c>
      <c r="H125" s="1" t="str">
        <f aca="false">VLOOKUP($K125,CHURN!$A$2:$E$302,4,FALSE())</f>
        <v>Ativo</v>
      </c>
      <c r="I125" s="7" t="n">
        <f aca="false">(F125-G125)/F125</f>
        <v>0.377861836832826</v>
      </c>
      <c r="J125" s="1" t="str">
        <f aca="false">IF(INDEX($I$3:$I$302,MATCH(B125,$B$3:$B$302,0))&gt;50%,"Alto valor",IF(INDEX($I$3:$I$302,MATCH(B125,$B$3:$B$302,0))&gt;=30%,"Médio valor","Baixo valor"))</f>
        <v>Médio valor</v>
      </c>
      <c r="K125" s="0" t="str">
        <f aca="false">CONCATENATE(B125,E125)</f>
        <v>U2025-02</v>
      </c>
      <c r="L125" s="1"/>
    </row>
    <row r="126" customFormat="false" ht="14.25" hidden="false" customHeight="false" outlineLevel="0" collapsed="false">
      <c r="B126" s="1" t="s">
        <v>35</v>
      </c>
      <c r="C126" s="1" t="str">
        <f aca="false">VLOOKUP(B126,Tabela4[],2,FALSE())</f>
        <v>Média</v>
      </c>
      <c r="D126" s="5" t="str">
        <f aca="false">VLOOKUP(B126,Tabela4[],3,FALSE())</f>
        <v>Rio Grande do Sul</v>
      </c>
      <c r="E126" s="2" t="s">
        <v>13</v>
      </c>
      <c r="F126" s="6" t="n">
        <f aca="false">VLOOKUP($K126,'FATURAMENTO '!$A$2:$E$302,4,FALSE())</f>
        <v>25102</v>
      </c>
      <c r="G126" s="6" t="n">
        <f aca="false">VLOOKUP($K126,'FATURAMENTO '!$A$2:$E$302,5,FALSE())</f>
        <v>12979.96</v>
      </c>
      <c r="H126" s="1" t="str">
        <f aca="false">VLOOKUP($K126,CHURN!$A$2:$E$302,4,FALSE())</f>
        <v>Ativo</v>
      </c>
      <c r="I126" s="7" t="n">
        <f aca="false">(F126-G126)/F126</f>
        <v>0.482911321807027</v>
      </c>
      <c r="J126" s="1" t="str">
        <f aca="false">IF(INDEX($I$3:$I$302,MATCH(B126,$B$3:$B$302,0))&gt;50%,"Alto valor",IF(INDEX($I$3:$I$302,MATCH(B126,$B$3:$B$302,0))&gt;=30%,"Médio valor","Baixo valor"))</f>
        <v>Médio valor</v>
      </c>
      <c r="K126" s="0" t="str">
        <f aca="false">CONCATENATE(B126,E126)</f>
        <v>U2025-03</v>
      </c>
      <c r="L126" s="1"/>
    </row>
    <row r="127" customFormat="false" ht="14.25" hidden="false" customHeight="false" outlineLevel="0" collapsed="false">
      <c r="B127" s="1" t="s">
        <v>35</v>
      </c>
      <c r="C127" s="1" t="str">
        <f aca="false">VLOOKUP(B127,Tabela4[],2,FALSE())</f>
        <v>Média</v>
      </c>
      <c r="D127" s="5" t="str">
        <f aca="false">VLOOKUP(B127,Tabela4[],3,FALSE())</f>
        <v>Rio Grande do Sul</v>
      </c>
      <c r="E127" s="2" t="s">
        <v>14</v>
      </c>
      <c r="F127" s="6" t="n">
        <f aca="false">VLOOKUP($K127,'FATURAMENTO '!$A$2:$E$302,4,FALSE())</f>
        <v>47907</v>
      </c>
      <c r="G127" s="6" t="n">
        <f aca="false">VLOOKUP($K127,'FATURAMENTO '!$A$2:$E$302,5,FALSE())</f>
        <v>26995.23</v>
      </c>
      <c r="H127" s="1" t="str">
        <f aca="false">VLOOKUP($K127,CHURN!$A$2:$E$302,4,FALSE())</f>
        <v>Cancelado</v>
      </c>
      <c r="I127" s="7" t="n">
        <f aca="false">(F127-G127)/F127</f>
        <v>0.436507608491452</v>
      </c>
      <c r="J127" s="1" t="str">
        <f aca="false">IF(INDEX($I$3:$I$302,MATCH(B127,$B$3:$B$302,0))&gt;50%,"Alto valor",IF(INDEX($I$3:$I$302,MATCH(B127,$B$3:$B$302,0))&gt;=30%,"Médio valor","Baixo valor"))</f>
        <v>Médio valor</v>
      </c>
      <c r="K127" s="0" t="str">
        <f aca="false">CONCATENATE(B127,E127)</f>
        <v>U2025-04</v>
      </c>
      <c r="L127" s="1"/>
    </row>
    <row r="128" customFormat="false" ht="14.25" hidden="false" customHeight="false" outlineLevel="0" collapsed="false">
      <c r="B128" s="1" t="s">
        <v>35</v>
      </c>
      <c r="C128" s="1" t="str">
        <f aca="false">VLOOKUP(B128,Tabela4[],2,FALSE())</f>
        <v>Média</v>
      </c>
      <c r="D128" s="5" t="str">
        <f aca="false">VLOOKUP(B128,Tabela4[],3,FALSE())</f>
        <v>Rio Grande do Sul</v>
      </c>
      <c r="E128" s="2" t="s">
        <v>15</v>
      </c>
      <c r="F128" s="6" t="n">
        <f aca="false">VLOOKUP($K128,'FATURAMENTO '!$A$2:$E$302,4,FALSE())</f>
        <v>32310</v>
      </c>
      <c r="G128" s="6" t="n">
        <f aca="false">VLOOKUP($K128,'FATURAMENTO '!$A$2:$E$302,5,FALSE())</f>
        <v>22971.5</v>
      </c>
      <c r="H128" s="1" t="str">
        <f aca="false">VLOOKUP($K128,CHURN!$A$2:$E$302,4,FALSE())</f>
        <v>Ativo</v>
      </c>
      <c r="I128" s="7" t="n">
        <f aca="false">(F128-G128)/F128</f>
        <v>0.289028164654906</v>
      </c>
      <c r="J128" s="1" t="str">
        <f aca="false">IF(INDEX($I$3:$I$302,MATCH(B128,$B$3:$B$302,0))&gt;50%,"Alto valor",IF(INDEX($I$3:$I$302,MATCH(B128,$B$3:$B$302,0))&gt;=30%,"Médio valor","Baixo valor"))</f>
        <v>Médio valor</v>
      </c>
      <c r="K128" s="0" t="str">
        <f aca="false">CONCATENATE(B128,E128)</f>
        <v>U2025-05</v>
      </c>
      <c r="L128" s="1"/>
    </row>
    <row r="129" customFormat="false" ht="14.25" hidden="false" customHeight="false" outlineLevel="0" collapsed="false">
      <c r="B129" s="1" t="s">
        <v>36</v>
      </c>
      <c r="C129" s="1" t="str">
        <f aca="false">VLOOKUP(B129,Tabela4[],2,FALSE())</f>
        <v>Grande</v>
      </c>
      <c r="D129" s="5" t="str">
        <f aca="false">VLOOKUP(B129,Tabela4[],3,FALSE())</f>
        <v>Minas Gerais</v>
      </c>
      <c r="E129" s="2" t="s">
        <v>10</v>
      </c>
      <c r="F129" s="6" t="n">
        <f aca="false">VLOOKUP($K129,'FATURAMENTO '!$A$2:$E$302,4,FALSE())</f>
        <v>20008</v>
      </c>
      <c r="G129" s="6" t="n">
        <f aca="false">VLOOKUP($K129,'FATURAMENTO '!$A$2:$E$302,5,FALSE())</f>
        <v>14046.47</v>
      </c>
      <c r="H129" s="1" t="str">
        <f aca="false">VLOOKUP($K129,CHURN!$A$2:$E$302,4,FALSE())</f>
        <v>Ativo</v>
      </c>
      <c r="I129" s="7" t="n">
        <f aca="false">(F129-G129)/F129</f>
        <v>0.297957317073171</v>
      </c>
      <c r="J129" s="1" t="str">
        <f aca="false">IF(INDEX($I$3:$I$302,MATCH(B129,$B$3:$B$302,0))&gt;50%,"Alto valor",IF(INDEX($I$3:$I$302,MATCH(B129,$B$3:$B$302,0))&gt;=30%,"Médio valor","Baixo valor"))</f>
        <v>Baixo valor</v>
      </c>
      <c r="K129" s="0" t="str">
        <f aca="false">CONCATENATE(B129,E129)</f>
        <v>V2024-12</v>
      </c>
      <c r="L129" s="1"/>
    </row>
    <row r="130" customFormat="false" ht="14.25" hidden="false" customHeight="false" outlineLevel="0" collapsed="false">
      <c r="B130" s="1" t="s">
        <v>36</v>
      </c>
      <c r="C130" s="1" t="str">
        <f aca="false">VLOOKUP(B130,Tabela4[],2,FALSE())</f>
        <v>Grande</v>
      </c>
      <c r="D130" s="5" t="str">
        <f aca="false">VLOOKUP(B130,Tabela4[],3,FALSE())</f>
        <v>Minas Gerais</v>
      </c>
      <c r="E130" s="2" t="s">
        <v>11</v>
      </c>
      <c r="F130" s="6" t="n">
        <f aca="false">VLOOKUP($K130,'FATURAMENTO '!$A$2:$E$302,4,FALSE())</f>
        <v>43449</v>
      </c>
      <c r="G130" s="6" t="n">
        <f aca="false">VLOOKUP($K130,'FATURAMENTO '!$A$2:$E$302,5,FALSE())</f>
        <v>34223.31</v>
      </c>
      <c r="H130" s="1" t="str">
        <f aca="false">VLOOKUP($K130,CHURN!$A$2:$E$302,4,FALSE())</f>
        <v>Ativo</v>
      </c>
      <c r="I130" s="7" t="n">
        <f aca="false">(F130-G130)/F130</f>
        <v>0.212333770627632</v>
      </c>
      <c r="J130" s="1" t="str">
        <f aca="false">IF(INDEX($I$3:$I$302,MATCH(B130,$B$3:$B$302,0))&gt;50%,"Alto valor",IF(INDEX($I$3:$I$302,MATCH(B130,$B$3:$B$302,0))&gt;=30%,"Médio valor","Baixo valor"))</f>
        <v>Baixo valor</v>
      </c>
      <c r="K130" s="0" t="str">
        <f aca="false">CONCATENATE(B130,E130)</f>
        <v>V2025-01</v>
      </c>
      <c r="L130" s="1"/>
    </row>
    <row r="131" customFormat="false" ht="14.25" hidden="false" customHeight="false" outlineLevel="0" collapsed="false">
      <c r="B131" s="1" t="s">
        <v>36</v>
      </c>
      <c r="C131" s="1" t="str">
        <f aca="false">VLOOKUP(B131,Tabela4[],2,FALSE())</f>
        <v>Grande</v>
      </c>
      <c r="D131" s="5" t="str">
        <f aca="false">VLOOKUP(B131,Tabela4[],3,FALSE())</f>
        <v>Minas Gerais</v>
      </c>
      <c r="E131" s="2" t="s">
        <v>12</v>
      </c>
      <c r="F131" s="6" t="n">
        <f aca="false">VLOOKUP($K131,'FATURAMENTO '!$A$2:$E$302,4,FALSE())</f>
        <v>31682</v>
      </c>
      <c r="G131" s="6" t="n">
        <f aca="false">VLOOKUP($K131,'FATURAMENTO '!$A$2:$E$302,5,FALSE())</f>
        <v>18524.57</v>
      </c>
      <c r="H131" s="1" t="str">
        <f aca="false">VLOOKUP($K131,CHURN!$A$2:$E$302,4,FALSE())</f>
        <v>Ativo</v>
      </c>
      <c r="I131" s="7" t="n">
        <f aca="false">(F131-G131)/F131</f>
        <v>0.415296698440755</v>
      </c>
      <c r="J131" s="1" t="str">
        <f aca="false">IF(INDEX($I$3:$I$302,MATCH(B131,$B$3:$B$302,0))&gt;50%,"Alto valor",IF(INDEX($I$3:$I$302,MATCH(B131,$B$3:$B$302,0))&gt;=30%,"Médio valor","Baixo valor"))</f>
        <v>Baixo valor</v>
      </c>
      <c r="K131" s="0" t="str">
        <f aca="false">CONCATENATE(B131,E131)</f>
        <v>V2025-02</v>
      </c>
      <c r="L131" s="1"/>
    </row>
    <row r="132" customFormat="false" ht="14.25" hidden="false" customHeight="false" outlineLevel="0" collapsed="false">
      <c r="B132" s="1" t="s">
        <v>36</v>
      </c>
      <c r="C132" s="1" t="str">
        <f aca="false">VLOOKUP(B132,Tabela4[],2,FALSE())</f>
        <v>Grande</v>
      </c>
      <c r="D132" s="5" t="str">
        <f aca="false">VLOOKUP(B132,Tabela4[],3,FALSE())</f>
        <v>Minas Gerais</v>
      </c>
      <c r="E132" s="2" t="s">
        <v>13</v>
      </c>
      <c r="F132" s="6" t="n">
        <f aca="false">VLOOKUP($K132,'FATURAMENTO '!$A$2:$E$302,4,FALSE())</f>
        <v>48767</v>
      </c>
      <c r="G132" s="6" t="n">
        <f aca="false">VLOOKUP($K132,'FATURAMENTO '!$A$2:$E$302,5,FALSE())</f>
        <v>27985.18</v>
      </c>
      <c r="H132" s="1" t="str">
        <f aca="false">VLOOKUP($K132,CHURN!$A$2:$E$302,4,FALSE())</f>
        <v>Cancelado</v>
      </c>
      <c r="I132" s="7" t="n">
        <f aca="false">(F132-G132)/F132</f>
        <v>0.42614513913097</v>
      </c>
      <c r="J132" s="1" t="str">
        <f aca="false">IF(INDEX($I$3:$I$302,MATCH(B132,$B$3:$B$302,0))&gt;50%,"Alto valor",IF(INDEX($I$3:$I$302,MATCH(B132,$B$3:$B$302,0))&gt;=30%,"Médio valor","Baixo valor"))</f>
        <v>Baixo valor</v>
      </c>
      <c r="K132" s="0" t="str">
        <f aca="false">CONCATENATE(B132,E132)</f>
        <v>V2025-03</v>
      </c>
      <c r="L132" s="1"/>
    </row>
    <row r="133" customFormat="false" ht="14.25" hidden="false" customHeight="false" outlineLevel="0" collapsed="false">
      <c r="B133" s="1" t="s">
        <v>36</v>
      </c>
      <c r="C133" s="1" t="str">
        <f aca="false">VLOOKUP(B133,Tabela4[],2,FALSE())</f>
        <v>Grande</v>
      </c>
      <c r="D133" s="5" t="str">
        <f aca="false">VLOOKUP(B133,Tabela4[],3,FALSE())</f>
        <v>Minas Gerais</v>
      </c>
      <c r="E133" s="2" t="s">
        <v>14</v>
      </c>
      <c r="F133" s="6" t="n">
        <f aca="false">VLOOKUP($K133,'FATURAMENTO '!$A$2:$E$302,4,FALSE())</f>
        <v>37251</v>
      </c>
      <c r="G133" s="6" t="n">
        <f aca="false">VLOOKUP($K133,'FATURAMENTO '!$A$2:$E$302,5,FALSE())</f>
        <v>24543.64</v>
      </c>
      <c r="H133" s="1" t="str">
        <f aca="false">VLOOKUP($K133,CHURN!$A$2:$E$302,4,FALSE())</f>
        <v>Ativo</v>
      </c>
      <c r="I133" s="7" t="n">
        <f aca="false">(F133-G133)/F133</f>
        <v>0.341128023408768</v>
      </c>
      <c r="J133" s="1" t="str">
        <f aca="false">IF(INDEX($I$3:$I$302,MATCH(B133,$B$3:$B$302,0))&gt;50%,"Alto valor",IF(INDEX($I$3:$I$302,MATCH(B133,$B$3:$B$302,0))&gt;=30%,"Médio valor","Baixo valor"))</f>
        <v>Baixo valor</v>
      </c>
      <c r="K133" s="0" t="str">
        <f aca="false">CONCATENATE(B133,E133)</f>
        <v>V2025-04</v>
      </c>
      <c r="L133" s="1"/>
    </row>
    <row r="134" customFormat="false" ht="14.25" hidden="false" customHeight="false" outlineLevel="0" collapsed="false">
      <c r="B134" s="1" t="s">
        <v>36</v>
      </c>
      <c r="C134" s="1" t="str">
        <f aca="false">VLOOKUP(B134,Tabela4[],2,FALSE())</f>
        <v>Grande</v>
      </c>
      <c r="D134" s="5" t="str">
        <f aca="false">VLOOKUP(B134,Tabela4[],3,FALSE())</f>
        <v>Minas Gerais</v>
      </c>
      <c r="E134" s="2" t="s">
        <v>15</v>
      </c>
      <c r="F134" s="6" t="n">
        <f aca="false">VLOOKUP($K134,'FATURAMENTO '!$A$2:$E$302,4,FALSE())</f>
        <v>22468</v>
      </c>
      <c r="G134" s="6" t="n">
        <f aca="false">VLOOKUP($K134,'FATURAMENTO '!$A$2:$E$302,5,FALSE())</f>
        <v>14987.05</v>
      </c>
      <c r="H134" s="1" t="str">
        <f aca="false">VLOOKUP($K134,CHURN!$A$2:$E$302,4,FALSE())</f>
        <v>Cancelado</v>
      </c>
      <c r="I134" s="7" t="n">
        <f aca="false">(F134-G134)/F134</f>
        <v>0.332960210076553</v>
      </c>
      <c r="J134" s="1" t="str">
        <f aca="false">IF(INDEX($I$3:$I$302,MATCH(B134,$B$3:$B$302,0))&gt;50%,"Alto valor",IF(INDEX($I$3:$I$302,MATCH(B134,$B$3:$B$302,0))&gt;=30%,"Médio valor","Baixo valor"))</f>
        <v>Baixo valor</v>
      </c>
      <c r="K134" s="0" t="str">
        <f aca="false">CONCATENATE(B134,E134)</f>
        <v>V2025-05</v>
      </c>
      <c r="L134" s="1"/>
    </row>
    <row r="135" customFormat="false" ht="14.25" hidden="false" customHeight="false" outlineLevel="0" collapsed="false">
      <c r="B135" s="1" t="s">
        <v>37</v>
      </c>
      <c r="C135" s="1" t="str">
        <f aca="false">VLOOKUP(B135,Tabela4[],2,FALSE())</f>
        <v>Pequena</v>
      </c>
      <c r="D135" s="5" t="str">
        <f aca="false">VLOOKUP(B135,Tabela4[],3,FALSE())</f>
        <v>Minas Gerais</v>
      </c>
      <c r="E135" s="2" t="s">
        <v>10</v>
      </c>
      <c r="F135" s="6" t="n">
        <f aca="false">VLOOKUP($K135,'FATURAMENTO '!$A$2:$E$302,4,FALSE())</f>
        <v>46567</v>
      </c>
      <c r="G135" s="6" t="n">
        <f aca="false">VLOOKUP($K135,'FATURAMENTO '!$A$2:$E$302,5,FALSE())</f>
        <v>29089.37</v>
      </c>
      <c r="H135" s="1" t="str">
        <f aca="false">VLOOKUP($K135,CHURN!$A$2:$E$302,4,FALSE())</f>
        <v>Ativo</v>
      </c>
      <c r="I135" s="7" t="n">
        <f aca="false">(F135-G135)/F135</f>
        <v>0.375322223892456</v>
      </c>
      <c r="J135" s="1" t="str">
        <f aca="false">IF(INDEX($I$3:$I$302,MATCH(B135,$B$3:$B$302,0))&gt;50%,"Alto valor",IF(INDEX($I$3:$I$302,MATCH(B135,$B$3:$B$302,0))&gt;=30%,"Médio valor","Baixo valor"))</f>
        <v>Médio valor</v>
      </c>
      <c r="K135" s="0" t="str">
        <f aca="false">CONCATENATE(B135,E135)</f>
        <v>X2024-12</v>
      </c>
      <c r="L135" s="1"/>
    </row>
    <row r="136" customFormat="false" ht="14.25" hidden="false" customHeight="false" outlineLevel="0" collapsed="false">
      <c r="B136" s="1" t="s">
        <v>37</v>
      </c>
      <c r="C136" s="1" t="str">
        <f aca="false">VLOOKUP(B136,Tabela4[],2,FALSE())</f>
        <v>Pequena</v>
      </c>
      <c r="D136" s="5" t="str">
        <f aca="false">VLOOKUP(B136,Tabela4[],3,FALSE())</f>
        <v>Minas Gerais</v>
      </c>
      <c r="E136" s="2" t="s">
        <v>11</v>
      </c>
      <c r="F136" s="6" t="n">
        <f aca="false">VLOOKUP($K136,'FATURAMENTO '!$A$2:$E$302,4,FALSE())</f>
        <v>6613</v>
      </c>
      <c r="G136" s="6" t="n">
        <f aca="false">VLOOKUP($K136,'FATURAMENTO '!$A$2:$E$302,5,FALSE())</f>
        <v>3705.14</v>
      </c>
      <c r="H136" s="1" t="str">
        <f aca="false">VLOOKUP($K136,CHURN!$A$2:$E$302,4,FALSE())</f>
        <v>Cancelado</v>
      </c>
      <c r="I136" s="7" t="n">
        <f aca="false">(F136-G136)/F136</f>
        <v>0.439718735823378</v>
      </c>
      <c r="J136" s="1" t="str">
        <f aca="false">IF(INDEX($I$3:$I$302,MATCH(B136,$B$3:$B$302,0))&gt;50%,"Alto valor",IF(INDEX($I$3:$I$302,MATCH(B136,$B$3:$B$302,0))&gt;=30%,"Médio valor","Baixo valor"))</f>
        <v>Médio valor</v>
      </c>
      <c r="K136" s="0" t="str">
        <f aca="false">CONCATENATE(B136,E136)</f>
        <v>X2025-01</v>
      </c>
      <c r="L136" s="1"/>
    </row>
    <row r="137" customFormat="false" ht="14.25" hidden="false" customHeight="false" outlineLevel="0" collapsed="false">
      <c r="B137" s="1" t="s">
        <v>37</v>
      </c>
      <c r="C137" s="1" t="str">
        <f aca="false">VLOOKUP(B137,Tabela4[],2,FALSE())</f>
        <v>Pequena</v>
      </c>
      <c r="D137" s="5" t="str">
        <f aca="false">VLOOKUP(B137,Tabela4[],3,FALSE())</f>
        <v>Minas Gerais</v>
      </c>
      <c r="E137" s="2" t="s">
        <v>12</v>
      </c>
      <c r="F137" s="6" t="n">
        <f aca="false">VLOOKUP($K137,'FATURAMENTO '!$A$2:$E$302,4,FALSE())</f>
        <v>46185</v>
      </c>
      <c r="G137" s="6" t="n">
        <f aca="false">VLOOKUP($K137,'FATURAMENTO '!$A$2:$E$302,5,FALSE())</f>
        <v>36169.87</v>
      </c>
      <c r="H137" s="1" t="str">
        <f aca="false">VLOOKUP($K137,CHURN!$A$2:$E$302,4,FALSE())</f>
        <v>Ativo</v>
      </c>
      <c r="I137" s="7" t="n">
        <f aca="false">(F137-G137)/F137</f>
        <v>0.216848110858504</v>
      </c>
      <c r="J137" s="1" t="str">
        <f aca="false">IF(INDEX($I$3:$I$302,MATCH(B137,$B$3:$B$302,0))&gt;50%,"Alto valor",IF(INDEX($I$3:$I$302,MATCH(B137,$B$3:$B$302,0))&gt;=30%,"Médio valor","Baixo valor"))</f>
        <v>Médio valor</v>
      </c>
      <c r="K137" s="0" t="str">
        <f aca="false">CONCATENATE(B137,E137)</f>
        <v>X2025-02</v>
      </c>
      <c r="L137" s="1"/>
    </row>
    <row r="138" customFormat="false" ht="14.25" hidden="false" customHeight="false" outlineLevel="0" collapsed="false">
      <c r="B138" s="1" t="s">
        <v>37</v>
      </c>
      <c r="C138" s="1" t="str">
        <f aca="false">VLOOKUP(B138,Tabela4[],2,FALSE())</f>
        <v>Pequena</v>
      </c>
      <c r="D138" s="5" t="str">
        <f aca="false">VLOOKUP(B138,Tabela4[],3,FALSE())</f>
        <v>Minas Gerais</v>
      </c>
      <c r="E138" s="2" t="s">
        <v>13</v>
      </c>
      <c r="F138" s="6" t="n">
        <f aca="false">VLOOKUP($K138,'FATURAMENTO '!$A$2:$E$302,4,FALSE())</f>
        <v>13135</v>
      </c>
      <c r="G138" s="6" t="n">
        <f aca="false">VLOOKUP($K138,'FATURAMENTO '!$A$2:$E$302,5,FALSE())</f>
        <v>8305.43</v>
      </c>
      <c r="H138" s="1" t="str">
        <f aca="false">VLOOKUP($K138,CHURN!$A$2:$E$302,4,FALSE())</f>
        <v>Ativo</v>
      </c>
      <c r="I138" s="7" t="n">
        <f aca="false">(F138-G138)/F138</f>
        <v>0.36768709554625</v>
      </c>
      <c r="J138" s="1" t="str">
        <f aca="false">IF(INDEX($I$3:$I$302,MATCH(B138,$B$3:$B$302,0))&gt;50%,"Alto valor",IF(INDEX($I$3:$I$302,MATCH(B138,$B$3:$B$302,0))&gt;=30%,"Médio valor","Baixo valor"))</f>
        <v>Médio valor</v>
      </c>
      <c r="K138" s="0" t="str">
        <f aca="false">CONCATENATE(B138,E138)</f>
        <v>X2025-03</v>
      </c>
      <c r="L138" s="1"/>
    </row>
    <row r="139" customFormat="false" ht="14.25" hidden="false" customHeight="false" outlineLevel="0" collapsed="false">
      <c r="B139" s="1" t="s">
        <v>37</v>
      </c>
      <c r="C139" s="1" t="str">
        <f aca="false">VLOOKUP(B139,Tabela4[],2,FALSE())</f>
        <v>Pequena</v>
      </c>
      <c r="D139" s="5" t="str">
        <f aca="false">VLOOKUP(B139,Tabela4[],3,FALSE())</f>
        <v>Minas Gerais</v>
      </c>
      <c r="E139" s="2" t="s">
        <v>14</v>
      </c>
      <c r="F139" s="6" t="n">
        <f aca="false">VLOOKUP($K139,'FATURAMENTO '!$A$2:$E$302,4,FALSE())</f>
        <v>24902</v>
      </c>
      <c r="G139" s="6" t="n">
        <f aca="false">VLOOKUP($K139,'FATURAMENTO '!$A$2:$E$302,5,FALSE())</f>
        <v>18556.7</v>
      </c>
      <c r="H139" s="1" t="str">
        <f aca="false">VLOOKUP($K139,CHURN!$A$2:$E$302,4,FALSE())</f>
        <v>Ativo</v>
      </c>
      <c r="I139" s="7" t="n">
        <f aca="false">(F139-G139)/F139</f>
        <v>0.254810858565577</v>
      </c>
      <c r="J139" s="1" t="str">
        <f aca="false">IF(INDEX($I$3:$I$302,MATCH(B139,$B$3:$B$302,0))&gt;50%,"Alto valor",IF(INDEX($I$3:$I$302,MATCH(B139,$B$3:$B$302,0))&gt;=30%,"Médio valor","Baixo valor"))</f>
        <v>Médio valor</v>
      </c>
      <c r="K139" s="0" t="str">
        <f aca="false">CONCATENATE(B139,E139)</f>
        <v>X2025-04</v>
      </c>
      <c r="L139" s="1"/>
    </row>
    <row r="140" customFormat="false" ht="14.25" hidden="false" customHeight="false" outlineLevel="0" collapsed="false">
      <c r="B140" s="1" t="s">
        <v>37</v>
      </c>
      <c r="C140" s="1" t="str">
        <f aca="false">VLOOKUP(B140,Tabela4[],2,FALSE())</f>
        <v>Pequena</v>
      </c>
      <c r="D140" s="5" t="str">
        <f aca="false">VLOOKUP(B140,Tabela4[],3,FALSE())</f>
        <v>Minas Gerais</v>
      </c>
      <c r="E140" s="2" t="s">
        <v>15</v>
      </c>
      <c r="F140" s="6" t="n">
        <f aca="false">VLOOKUP($K140,'FATURAMENTO '!$A$2:$E$302,4,FALSE())</f>
        <v>21992</v>
      </c>
      <c r="G140" s="6" t="n">
        <f aca="false">VLOOKUP($K140,'FATURAMENTO '!$A$2:$E$302,5,FALSE())</f>
        <v>13248.44</v>
      </c>
      <c r="H140" s="1" t="str">
        <f aca="false">VLOOKUP($K140,CHURN!$A$2:$E$302,4,FALSE())</f>
        <v>Cancelado</v>
      </c>
      <c r="I140" s="7" t="n">
        <f aca="false">(F140-G140)/F140</f>
        <v>0.397579119679884</v>
      </c>
      <c r="J140" s="1" t="str">
        <f aca="false">IF(INDEX($I$3:$I$302,MATCH(B140,$B$3:$B$302,0))&gt;50%,"Alto valor",IF(INDEX($I$3:$I$302,MATCH(B140,$B$3:$B$302,0))&gt;=30%,"Médio valor","Baixo valor"))</f>
        <v>Médio valor</v>
      </c>
      <c r="K140" s="0" t="str">
        <f aca="false">CONCATENATE(B140,E140)</f>
        <v>X2025-05</v>
      </c>
      <c r="L140" s="1"/>
    </row>
    <row r="141" customFormat="false" ht="14.25" hidden="false" customHeight="false" outlineLevel="0" collapsed="false">
      <c r="B141" s="1" t="s">
        <v>38</v>
      </c>
      <c r="C141" s="1" t="str">
        <f aca="false">VLOOKUP(B141,Tabela4[],2,FALSE())</f>
        <v>Grande</v>
      </c>
      <c r="D141" s="5" t="str">
        <f aca="false">VLOOKUP(B141,Tabela4[],3,FALSE())</f>
        <v>Santa Catarina</v>
      </c>
      <c r="E141" s="2" t="s">
        <v>10</v>
      </c>
      <c r="F141" s="6" t="n">
        <f aca="false">VLOOKUP($K141,'FATURAMENTO '!$A$2:$E$302,4,FALSE())</f>
        <v>43954</v>
      </c>
      <c r="G141" s="6" t="n">
        <f aca="false">VLOOKUP($K141,'FATURAMENTO '!$A$2:$E$302,5,FALSE())</f>
        <v>23015.58</v>
      </c>
      <c r="H141" s="1" t="str">
        <f aca="false">VLOOKUP($K141,CHURN!$A$2:$E$302,4,FALSE())</f>
        <v>Ativo</v>
      </c>
      <c r="I141" s="7" t="n">
        <f aca="false">(F141-G141)/F141</f>
        <v>0.476371206261091</v>
      </c>
      <c r="J141" s="1" t="str">
        <f aca="false">IF(INDEX($I$3:$I$302,MATCH(B141,$B$3:$B$302,0))&gt;50%,"Alto valor",IF(INDEX($I$3:$I$302,MATCH(B141,$B$3:$B$302,0))&gt;=30%,"Médio valor","Baixo valor"))</f>
        <v>Médio valor</v>
      </c>
      <c r="K141" s="0" t="str">
        <f aca="false">CONCATENATE(B141,E141)</f>
        <v>W2024-12</v>
      </c>
      <c r="L141" s="1"/>
    </row>
    <row r="142" customFormat="false" ht="14.25" hidden="false" customHeight="false" outlineLevel="0" collapsed="false">
      <c r="B142" s="1" t="s">
        <v>38</v>
      </c>
      <c r="C142" s="1" t="str">
        <f aca="false">VLOOKUP(B142,Tabela4[],2,FALSE())</f>
        <v>Grande</v>
      </c>
      <c r="D142" s="5" t="str">
        <f aca="false">VLOOKUP(B142,Tabela4[],3,FALSE())</f>
        <v>Santa Catarina</v>
      </c>
      <c r="E142" s="2" t="s">
        <v>11</v>
      </c>
      <c r="F142" s="6" t="n">
        <f aca="false">VLOOKUP($K142,'FATURAMENTO '!$A$2:$E$302,4,FALSE())</f>
        <v>17602</v>
      </c>
      <c r="G142" s="6" t="n">
        <f aca="false">VLOOKUP($K142,'FATURAMENTO '!$A$2:$E$302,5,FALSE())</f>
        <v>10768.44</v>
      </c>
      <c r="H142" s="1" t="str">
        <f aca="false">VLOOKUP($K142,CHURN!$A$2:$E$302,4,FALSE())</f>
        <v>Ativo</v>
      </c>
      <c r="I142" s="7" t="n">
        <f aca="false">(F142-G142)/F142</f>
        <v>0.388226337916146</v>
      </c>
      <c r="J142" s="1" t="str">
        <f aca="false">IF(INDEX($I$3:$I$302,MATCH(B142,$B$3:$B$302,0))&gt;50%,"Alto valor",IF(INDEX($I$3:$I$302,MATCH(B142,$B$3:$B$302,0))&gt;=30%,"Médio valor","Baixo valor"))</f>
        <v>Médio valor</v>
      </c>
      <c r="K142" s="0" t="str">
        <f aca="false">CONCATENATE(B142,E142)</f>
        <v>W2025-01</v>
      </c>
      <c r="L142" s="1"/>
    </row>
    <row r="143" customFormat="false" ht="14.25" hidden="false" customHeight="false" outlineLevel="0" collapsed="false">
      <c r="B143" s="1" t="s">
        <v>38</v>
      </c>
      <c r="C143" s="1" t="str">
        <f aca="false">VLOOKUP(B143,Tabela4[],2,FALSE())</f>
        <v>Grande</v>
      </c>
      <c r="D143" s="5" t="str">
        <f aca="false">VLOOKUP(B143,Tabela4[],3,FALSE())</f>
        <v>Santa Catarina</v>
      </c>
      <c r="E143" s="2" t="s">
        <v>12</v>
      </c>
      <c r="F143" s="6" t="n">
        <f aca="false">VLOOKUP($K143,'FATURAMENTO '!$A$2:$E$302,4,FALSE())</f>
        <v>49685</v>
      </c>
      <c r="G143" s="6" t="n">
        <f aca="false">VLOOKUP($K143,'FATURAMENTO '!$A$2:$E$302,5,FALSE())</f>
        <v>28990.56</v>
      </c>
      <c r="H143" s="1" t="str">
        <f aca="false">VLOOKUP($K143,CHURN!$A$2:$E$302,4,FALSE())</f>
        <v>Ativo</v>
      </c>
      <c r="I143" s="7" t="n">
        <f aca="false">(F143-G143)/F143</f>
        <v>0.416512830834256</v>
      </c>
      <c r="J143" s="1" t="str">
        <f aca="false">IF(INDEX($I$3:$I$302,MATCH(B143,$B$3:$B$302,0))&gt;50%,"Alto valor",IF(INDEX($I$3:$I$302,MATCH(B143,$B$3:$B$302,0))&gt;=30%,"Médio valor","Baixo valor"))</f>
        <v>Médio valor</v>
      </c>
      <c r="K143" s="0" t="str">
        <f aca="false">CONCATENATE(B143,E143)</f>
        <v>W2025-02</v>
      </c>
      <c r="L143" s="1"/>
    </row>
    <row r="144" customFormat="false" ht="14.25" hidden="false" customHeight="false" outlineLevel="0" collapsed="false">
      <c r="B144" s="1" t="s">
        <v>38</v>
      </c>
      <c r="C144" s="1" t="str">
        <f aca="false">VLOOKUP(B144,Tabela4[],2,FALSE())</f>
        <v>Grande</v>
      </c>
      <c r="D144" s="5" t="str">
        <f aca="false">VLOOKUP(B144,Tabela4[],3,FALSE())</f>
        <v>Santa Catarina</v>
      </c>
      <c r="E144" s="2" t="s">
        <v>13</v>
      </c>
      <c r="F144" s="6" t="n">
        <f aca="false">VLOOKUP($K144,'FATURAMENTO '!$A$2:$E$302,4,FALSE())</f>
        <v>42082</v>
      </c>
      <c r="G144" s="6" t="n">
        <f aca="false">VLOOKUP($K144,'FATURAMENTO '!$A$2:$E$302,5,FALSE())</f>
        <v>29531.18</v>
      </c>
      <c r="H144" s="1" t="str">
        <f aca="false">VLOOKUP($K144,CHURN!$A$2:$E$302,4,FALSE())</f>
        <v>Ativo</v>
      </c>
      <c r="I144" s="7" t="n">
        <f aca="false">(F144-G144)/F144</f>
        <v>0.298246756332874</v>
      </c>
      <c r="J144" s="1" t="str">
        <f aca="false">IF(INDEX($I$3:$I$302,MATCH(B144,$B$3:$B$302,0))&gt;50%,"Alto valor",IF(INDEX($I$3:$I$302,MATCH(B144,$B$3:$B$302,0))&gt;=30%,"Médio valor","Baixo valor"))</f>
        <v>Médio valor</v>
      </c>
      <c r="K144" s="0" t="str">
        <f aca="false">CONCATENATE(B144,E144)</f>
        <v>W2025-03</v>
      </c>
      <c r="L144" s="1"/>
    </row>
    <row r="145" customFormat="false" ht="14.25" hidden="false" customHeight="false" outlineLevel="0" collapsed="false">
      <c r="B145" s="1" t="s">
        <v>38</v>
      </c>
      <c r="C145" s="1" t="str">
        <f aca="false">VLOOKUP(B145,Tabela4[],2,FALSE())</f>
        <v>Grande</v>
      </c>
      <c r="D145" s="5" t="str">
        <f aca="false">VLOOKUP(B145,Tabela4[],3,FALSE())</f>
        <v>Santa Catarina</v>
      </c>
      <c r="E145" s="2" t="s">
        <v>14</v>
      </c>
      <c r="F145" s="6" t="n">
        <f aca="false">VLOOKUP($K145,'FATURAMENTO '!$A$2:$E$302,4,FALSE())</f>
        <v>43161</v>
      </c>
      <c r="G145" s="6" t="n">
        <f aca="false">VLOOKUP($K145,'FATURAMENTO '!$A$2:$E$302,5,FALSE())</f>
        <v>28077.29</v>
      </c>
      <c r="H145" s="1" t="str">
        <f aca="false">VLOOKUP($K145,CHURN!$A$2:$E$302,4,FALSE())</f>
        <v>Ativo</v>
      </c>
      <c r="I145" s="7" t="n">
        <f aca="false">(F145-G145)/F145</f>
        <v>0.349475452375988</v>
      </c>
      <c r="J145" s="1" t="str">
        <f aca="false">IF(INDEX($I$3:$I$302,MATCH(B145,$B$3:$B$302,0))&gt;50%,"Alto valor",IF(INDEX($I$3:$I$302,MATCH(B145,$B$3:$B$302,0))&gt;=30%,"Médio valor","Baixo valor"))</f>
        <v>Médio valor</v>
      </c>
      <c r="K145" s="0" t="str">
        <f aca="false">CONCATENATE(B145,E145)</f>
        <v>W2025-04</v>
      </c>
      <c r="L145" s="1"/>
    </row>
    <row r="146" customFormat="false" ht="14.25" hidden="false" customHeight="false" outlineLevel="0" collapsed="false">
      <c r="B146" s="1" t="s">
        <v>38</v>
      </c>
      <c r="C146" s="1" t="str">
        <f aca="false">VLOOKUP(B146,Tabela4[],2,FALSE())</f>
        <v>Grande</v>
      </c>
      <c r="D146" s="5" t="str">
        <f aca="false">VLOOKUP(B146,Tabela4[],3,FALSE())</f>
        <v>Santa Catarina</v>
      </c>
      <c r="E146" s="2" t="s">
        <v>15</v>
      </c>
      <c r="F146" s="6" t="n">
        <f aca="false">VLOOKUP($K146,'FATURAMENTO '!$A$2:$E$302,4,FALSE())</f>
        <v>36095</v>
      </c>
      <c r="G146" s="6" t="n">
        <f aca="false">VLOOKUP($K146,'FATURAMENTO '!$A$2:$E$302,5,FALSE())</f>
        <v>19061.56</v>
      </c>
      <c r="H146" s="1" t="str">
        <f aca="false">VLOOKUP($K146,CHURN!$A$2:$E$302,4,FALSE())</f>
        <v>Ativo</v>
      </c>
      <c r="I146" s="7" t="n">
        <f aca="false">(F146-G146)/F146</f>
        <v>0.471905804127996</v>
      </c>
      <c r="J146" s="1" t="str">
        <f aca="false">IF(INDEX($I$3:$I$302,MATCH(B146,$B$3:$B$302,0))&gt;50%,"Alto valor",IF(INDEX($I$3:$I$302,MATCH(B146,$B$3:$B$302,0))&gt;=30%,"Médio valor","Baixo valor"))</f>
        <v>Médio valor</v>
      </c>
      <c r="K146" s="0" t="str">
        <f aca="false">CONCATENATE(B146,E146)</f>
        <v>W2025-05</v>
      </c>
      <c r="L146" s="1"/>
    </row>
    <row r="147" customFormat="false" ht="14.25" hidden="false" customHeight="false" outlineLevel="0" collapsed="false">
      <c r="B147" s="1" t="s">
        <v>39</v>
      </c>
      <c r="C147" s="1" t="str">
        <f aca="false">VLOOKUP(B147,Tabela4[],2,FALSE())</f>
        <v>Pequena</v>
      </c>
      <c r="D147" s="5" t="str">
        <f aca="false">VLOOKUP(B147,Tabela4[],3,FALSE())</f>
        <v>Distrito Federal</v>
      </c>
      <c r="E147" s="2" t="s">
        <v>10</v>
      </c>
      <c r="F147" s="6" t="n">
        <f aca="false">VLOOKUP($K147,'FATURAMENTO '!$A$2:$E$302,4,FALSE())</f>
        <v>11107</v>
      </c>
      <c r="G147" s="6" t="n">
        <f aca="false">VLOOKUP($K147,'FATURAMENTO '!$A$2:$E$302,5,FALSE())</f>
        <v>7488.07</v>
      </c>
      <c r="H147" s="1" t="str">
        <f aca="false">VLOOKUP($K147,CHURN!$A$2:$E$302,4,FALSE())</f>
        <v>Ativo</v>
      </c>
      <c r="I147" s="7" t="n">
        <f aca="false">(F147-G147)/F147</f>
        <v>0.325824254974341</v>
      </c>
      <c r="J147" s="1" t="str">
        <f aca="false">IF(INDEX($I$3:$I$302,MATCH(B147,$B$3:$B$302,0))&gt;50%,"Alto valor",IF(INDEX($I$3:$I$302,MATCH(B147,$B$3:$B$302,0))&gt;=30%,"Médio valor","Baixo valor"))</f>
        <v>Médio valor</v>
      </c>
      <c r="K147" s="0" t="str">
        <f aca="false">CONCATENATE(B147,E147)</f>
        <v>Y2024-12</v>
      </c>
      <c r="L147" s="1"/>
    </row>
    <row r="148" customFormat="false" ht="14.25" hidden="false" customHeight="false" outlineLevel="0" collapsed="false">
      <c r="B148" s="1" t="s">
        <v>39</v>
      </c>
      <c r="C148" s="1" t="str">
        <f aca="false">VLOOKUP(B148,Tabela4[],2,FALSE())</f>
        <v>Pequena</v>
      </c>
      <c r="D148" s="5" t="str">
        <f aca="false">VLOOKUP(B148,Tabela4[],3,FALSE())</f>
        <v>Distrito Federal</v>
      </c>
      <c r="E148" s="2" t="s">
        <v>11</v>
      </c>
      <c r="F148" s="6" t="n">
        <f aca="false">VLOOKUP($K148,'FATURAMENTO '!$A$2:$E$302,4,FALSE())</f>
        <v>26020</v>
      </c>
      <c r="G148" s="6" t="n">
        <f aca="false">VLOOKUP($K148,'FATURAMENTO '!$A$2:$E$302,5,FALSE())</f>
        <v>19148.64</v>
      </c>
      <c r="H148" s="1" t="str">
        <f aca="false">VLOOKUP($K148,CHURN!$A$2:$E$302,4,FALSE())</f>
        <v>Ativo</v>
      </c>
      <c r="I148" s="7" t="n">
        <f aca="false">(F148-G148)/F148</f>
        <v>0.264079938508839</v>
      </c>
      <c r="J148" s="1" t="str">
        <f aca="false">IF(INDEX($I$3:$I$302,MATCH(B148,$B$3:$B$302,0))&gt;50%,"Alto valor",IF(INDEX($I$3:$I$302,MATCH(B148,$B$3:$B$302,0))&gt;=30%,"Médio valor","Baixo valor"))</f>
        <v>Médio valor</v>
      </c>
      <c r="K148" s="0" t="str">
        <f aca="false">CONCATENATE(B148,E148)</f>
        <v>Y2025-01</v>
      </c>
      <c r="L148" s="1"/>
    </row>
    <row r="149" customFormat="false" ht="14.25" hidden="false" customHeight="false" outlineLevel="0" collapsed="false">
      <c r="B149" s="1" t="s">
        <v>39</v>
      </c>
      <c r="C149" s="1" t="str">
        <f aca="false">VLOOKUP(B149,Tabela4[],2,FALSE())</f>
        <v>Pequena</v>
      </c>
      <c r="D149" s="5" t="str">
        <f aca="false">VLOOKUP(B149,Tabela4[],3,FALSE())</f>
        <v>Distrito Federal</v>
      </c>
      <c r="E149" s="2" t="s">
        <v>12</v>
      </c>
      <c r="F149" s="6" t="n">
        <f aca="false">VLOOKUP($K149,'FATURAMENTO '!$A$2:$E$302,4,FALSE())</f>
        <v>25224</v>
      </c>
      <c r="G149" s="6" t="n">
        <f aca="false">VLOOKUP($K149,'FATURAMENTO '!$A$2:$E$302,5,FALSE())</f>
        <v>19123.69</v>
      </c>
      <c r="H149" s="1" t="str">
        <f aca="false">VLOOKUP($K149,CHURN!$A$2:$E$302,4,FALSE())</f>
        <v>Cancelado</v>
      </c>
      <c r="I149" s="7" t="n">
        <f aca="false">(F149-G149)/F149</f>
        <v>0.241845464636854</v>
      </c>
      <c r="J149" s="1" t="str">
        <f aca="false">IF(INDEX($I$3:$I$302,MATCH(B149,$B$3:$B$302,0))&gt;50%,"Alto valor",IF(INDEX($I$3:$I$302,MATCH(B149,$B$3:$B$302,0))&gt;=30%,"Médio valor","Baixo valor"))</f>
        <v>Médio valor</v>
      </c>
      <c r="K149" s="0" t="str">
        <f aca="false">CONCATENATE(B149,E149)</f>
        <v>Y2025-02</v>
      </c>
      <c r="L149" s="1"/>
    </row>
    <row r="150" customFormat="false" ht="14.25" hidden="false" customHeight="false" outlineLevel="0" collapsed="false">
      <c r="B150" s="1" t="s">
        <v>39</v>
      </c>
      <c r="C150" s="1" t="str">
        <f aca="false">VLOOKUP(B150,Tabela4[],2,FALSE())</f>
        <v>Pequena</v>
      </c>
      <c r="D150" s="5" t="str">
        <f aca="false">VLOOKUP(B150,Tabela4[],3,FALSE())</f>
        <v>Distrito Federal</v>
      </c>
      <c r="E150" s="2" t="s">
        <v>13</v>
      </c>
      <c r="F150" s="6" t="n">
        <f aca="false">VLOOKUP($K150,'FATURAMENTO '!$A$2:$E$302,4,FALSE())</f>
        <v>20585</v>
      </c>
      <c r="G150" s="6" t="n">
        <f aca="false">VLOOKUP($K150,'FATURAMENTO '!$A$2:$E$302,5,FALSE())</f>
        <v>15216.51</v>
      </c>
      <c r="H150" s="1" t="str">
        <f aca="false">VLOOKUP($K150,CHURN!$A$2:$E$302,4,FALSE())</f>
        <v>Ativo</v>
      </c>
      <c r="I150" s="7" t="n">
        <f aca="false">(F150-G150)/F150</f>
        <v>0.260796210833131</v>
      </c>
      <c r="J150" s="1" t="str">
        <f aca="false">IF(INDEX($I$3:$I$302,MATCH(B150,$B$3:$B$302,0))&gt;50%,"Alto valor",IF(INDEX($I$3:$I$302,MATCH(B150,$B$3:$B$302,0))&gt;=30%,"Médio valor","Baixo valor"))</f>
        <v>Médio valor</v>
      </c>
      <c r="K150" s="0" t="str">
        <f aca="false">CONCATENATE(B150,E150)</f>
        <v>Y2025-03</v>
      </c>
      <c r="L150" s="1"/>
    </row>
    <row r="151" customFormat="false" ht="14.25" hidden="false" customHeight="false" outlineLevel="0" collapsed="false">
      <c r="B151" s="1" t="s">
        <v>39</v>
      </c>
      <c r="C151" s="1" t="str">
        <f aca="false">VLOOKUP(B151,Tabela4[],2,FALSE())</f>
        <v>Pequena</v>
      </c>
      <c r="D151" s="5" t="str">
        <f aca="false">VLOOKUP(B151,Tabela4[],3,FALSE())</f>
        <v>Distrito Federal</v>
      </c>
      <c r="E151" s="2" t="s">
        <v>14</v>
      </c>
      <c r="F151" s="6" t="n">
        <f aca="false">VLOOKUP($K151,'FATURAMENTO '!$A$2:$E$302,4,FALSE())</f>
        <v>45898</v>
      </c>
      <c r="G151" s="6" t="n">
        <f aca="false">VLOOKUP($K151,'FATURAMENTO '!$A$2:$E$302,5,FALSE())</f>
        <v>32565.43</v>
      </c>
      <c r="H151" s="1" t="str">
        <f aca="false">VLOOKUP($K151,CHURN!$A$2:$E$302,4,FALSE())</f>
        <v>Cancelado</v>
      </c>
      <c r="I151" s="7" t="n">
        <f aca="false">(F151-G151)/F151</f>
        <v>0.290482591834067</v>
      </c>
      <c r="J151" s="1" t="str">
        <f aca="false">IF(INDEX($I$3:$I$302,MATCH(B151,$B$3:$B$302,0))&gt;50%,"Alto valor",IF(INDEX($I$3:$I$302,MATCH(B151,$B$3:$B$302,0))&gt;=30%,"Médio valor","Baixo valor"))</f>
        <v>Médio valor</v>
      </c>
      <c r="K151" s="0" t="str">
        <f aca="false">CONCATENATE(B151,E151)</f>
        <v>Y2025-04</v>
      </c>
      <c r="L151" s="1"/>
    </row>
    <row r="152" customFormat="false" ht="14.25" hidden="false" customHeight="false" outlineLevel="0" collapsed="false">
      <c r="B152" s="1" t="s">
        <v>39</v>
      </c>
      <c r="C152" s="1" t="str">
        <f aca="false">VLOOKUP(B152,Tabela4[],2,FALSE())</f>
        <v>Pequena</v>
      </c>
      <c r="D152" s="5" t="str">
        <f aca="false">VLOOKUP(B152,Tabela4[],3,FALSE())</f>
        <v>Distrito Federal</v>
      </c>
      <c r="E152" s="2" t="s">
        <v>15</v>
      </c>
      <c r="F152" s="6" t="n">
        <f aca="false">VLOOKUP($K152,'FATURAMENTO '!$A$2:$E$302,4,FALSE())</f>
        <v>9265</v>
      </c>
      <c r="G152" s="6" t="n">
        <f aca="false">VLOOKUP($K152,'FATURAMENTO '!$A$2:$E$302,5,FALSE())</f>
        <v>7037.71</v>
      </c>
      <c r="H152" s="1" t="str">
        <f aca="false">VLOOKUP($K152,CHURN!$A$2:$E$302,4,FALSE())</f>
        <v>Ativo</v>
      </c>
      <c r="I152" s="7" t="n">
        <f aca="false">(F152-G152)/F152</f>
        <v>0.240398273070696</v>
      </c>
      <c r="J152" s="1" t="str">
        <f aca="false">IF(INDEX($I$3:$I$302,MATCH(B152,$B$3:$B$302,0))&gt;50%,"Alto valor",IF(INDEX($I$3:$I$302,MATCH(B152,$B$3:$B$302,0))&gt;=30%,"Médio valor","Baixo valor"))</f>
        <v>Médio valor</v>
      </c>
      <c r="K152" s="0" t="str">
        <f aca="false">CONCATENATE(B152,E152)</f>
        <v>Y2025-05</v>
      </c>
      <c r="L152" s="1"/>
    </row>
    <row r="153" customFormat="false" ht="14.25" hidden="false" customHeight="false" outlineLevel="0" collapsed="false">
      <c r="B153" s="1" t="s">
        <v>40</v>
      </c>
      <c r="C153" s="1" t="str">
        <f aca="false">VLOOKUP(B153,Tabela4[],2,FALSE())</f>
        <v>Média</v>
      </c>
      <c r="D153" s="5" t="str">
        <f aca="false">VLOOKUP(B153,Tabela4[],3,FALSE())</f>
        <v>Rio Grande do Sul</v>
      </c>
      <c r="E153" s="2" t="s">
        <v>10</v>
      </c>
      <c r="F153" s="6" t="n">
        <f aca="false">VLOOKUP($K153,'FATURAMENTO '!$A$2:$E$302,4,FALSE())</f>
        <v>7187</v>
      </c>
      <c r="G153" s="6" t="n">
        <f aca="false">VLOOKUP($K153,'FATURAMENTO '!$A$2:$E$302,5,FALSE())</f>
        <v>5587.8</v>
      </c>
      <c r="H153" s="1" t="str">
        <f aca="false">VLOOKUP($K153,CHURN!$A$2:$E$302,4,FALSE())</f>
        <v>Ativo</v>
      </c>
      <c r="I153" s="7" t="n">
        <f aca="false">(F153-G153)/F153</f>
        <v>0.222512870460554</v>
      </c>
      <c r="J153" s="1" t="str">
        <f aca="false">IF(INDEX($I$3:$I$302,MATCH(B153,$B$3:$B$302,0))&gt;50%,"Alto valor",IF(INDEX($I$3:$I$302,MATCH(B153,$B$3:$B$302,0))&gt;=30%,"Médio valor","Baixo valor"))</f>
        <v>Baixo valor</v>
      </c>
      <c r="K153" s="0" t="str">
        <f aca="false">CONCATENATE(B153,E153)</f>
        <v>Z2024-12</v>
      </c>
      <c r="L153" s="1"/>
    </row>
    <row r="154" customFormat="false" ht="14.25" hidden="false" customHeight="false" outlineLevel="0" collapsed="false">
      <c r="B154" s="1" t="s">
        <v>40</v>
      </c>
      <c r="C154" s="1" t="str">
        <f aca="false">VLOOKUP(B154,Tabela4[],2,FALSE())</f>
        <v>Média</v>
      </c>
      <c r="D154" s="5" t="str">
        <f aca="false">VLOOKUP(B154,Tabela4[],3,FALSE())</f>
        <v>Rio Grande do Sul</v>
      </c>
      <c r="E154" s="2" t="s">
        <v>11</v>
      </c>
      <c r="F154" s="6" t="n">
        <f aca="false">VLOOKUP($K154,'FATURAMENTO '!$A$2:$E$302,4,FALSE())</f>
        <v>41871</v>
      </c>
      <c r="G154" s="6" t="n">
        <f aca="false">VLOOKUP($K154,'FATURAMENTO '!$A$2:$E$302,5,FALSE())</f>
        <v>30230.08</v>
      </c>
      <c r="H154" s="1" t="str">
        <f aca="false">VLOOKUP($K154,CHURN!$A$2:$E$302,4,FALSE())</f>
        <v>Ativo</v>
      </c>
      <c r="I154" s="7" t="n">
        <f aca="false">(F154-G154)/F154</f>
        <v>0.278018676410881</v>
      </c>
      <c r="J154" s="1" t="str">
        <f aca="false">IF(INDEX($I$3:$I$302,MATCH(B154,$B$3:$B$302,0))&gt;50%,"Alto valor",IF(INDEX($I$3:$I$302,MATCH(B154,$B$3:$B$302,0))&gt;=30%,"Médio valor","Baixo valor"))</f>
        <v>Baixo valor</v>
      </c>
      <c r="K154" s="0" t="str">
        <f aca="false">CONCATENATE(B154,E154)</f>
        <v>Z2025-01</v>
      </c>
      <c r="L154" s="1"/>
    </row>
    <row r="155" customFormat="false" ht="14.25" hidden="false" customHeight="false" outlineLevel="0" collapsed="false">
      <c r="B155" s="1" t="s">
        <v>40</v>
      </c>
      <c r="C155" s="1" t="str">
        <f aca="false">VLOOKUP(B155,Tabela4[],2,FALSE())</f>
        <v>Média</v>
      </c>
      <c r="D155" s="5" t="str">
        <f aca="false">VLOOKUP(B155,Tabela4[],3,FALSE())</f>
        <v>Rio Grande do Sul</v>
      </c>
      <c r="E155" s="2" t="s">
        <v>12</v>
      </c>
      <c r="F155" s="6" t="n">
        <f aca="false">VLOOKUP($K155,'FATURAMENTO '!$A$2:$E$302,4,FALSE())</f>
        <v>11067</v>
      </c>
      <c r="G155" s="6" t="n">
        <f aca="false">VLOOKUP($K155,'FATURAMENTO '!$A$2:$E$302,5,FALSE())</f>
        <v>5741.22</v>
      </c>
      <c r="H155" s="1" t="str">
        <f aca="false">VLOOKUP($K155,CHURN!$A$2:$E$302,4,FALSE())</f>
        <v>Ativo</v>
      </c>
      <c r="I155" s="7" t="n">
        <f aca="false">(F155-G155)/F155</f>
        <v>0.481230685822716</v>
      </c>
      <c r="J155" s="1" t="str">
        <f aca="false">IF(INDEX($I$3:$I$302,MATCH(B155,$B$3:$B$302,0))&gt;50%,"Alto valor",IF(INDEX($I$3:$I$302,MATCH(B155,$B$3:$B$302,0))&gt;=30%,"Médio valor","Baixo valor"))</f>
        <v>Baixo valor</v>
      </c>
      <c r="K155" s="0" t="str">
        <f aca="false">CONCATENATE(B155,E155)</f>
        <v>Z2025-02</v>
      </c>
      <c r="L155" s="1"/>
    </row>
    <row r="156" customFormat="false" ht="14.25" hidden="false" customHeight="false" outlineLevel="0" collapsed="false">
      <c r="B156" s="1" t="s">
        <v>40</v>
      </c>
      <c r="C156" s="1" t="str">
        <f aca="false">VLOOKUP(B156,Tabela4[],2,FALSE())</f>
        <v>Média</v>
      </c>
      <c r="D156" s="5" t="str">
        <f aca="false">VLOOKUP(B156,Tabela4[],3,FALSE())</f>
        <v>Rio Grande do Sul</v>
      </c>
      <c r="E156" s="2" t="s">
        <v>13</v>
      </c>
      <c r="F156" s="6" t="n">
        <f aca="false">VLOOKUP($K156,'FATURAMENTO '!$A$2:$E$302,4,FALSE())</f>
        <v>6830</v>
      </c>
      <c r="G156" s="6" t="n">
        <f aca="false">VLOOKUP($K156,'FATURAMENTO '!$A$2:$E$302,5,FALSE())</f>
        <v>4184.37</v>
      </c>
      <c r="H156" s="1" t="str">
        <f aca="false">VLOOKUP($K156,CHURN!$A$2:$E$302,4,FALSE())</f>
        <v>Ativo</v>
      </c>
      <c r="I156" s="7" t="n">
        <f aca="false">(F156-G156)/F156</f>
        <v>0.387354319180088</v>
      </c>
      <c r="J156" s="1" t="str">
        <f aca="false">IF(INDEX($I$3:$I$302,MATCH(B156,$B$3:$B$302,0))&gt;50%,"Alto valor",IF(INDEX($I$3:$I$302,MATCH(B156,$B$3:$B$302,0))&gt;=30%,"Médio valor","Baixo valor"))</f>
        <v>Baixo valor</v>
      </c>
      <c r="K156" s="0" t="str">
        <f aca="false">CONCATENATE(B156,E156)</f>
        <v>Z2025-03</v>
      </c>
      <c r="L156" s="1"/>
    </row>
    <row r="157" customFormat="false" ht="14.25" hidden="false" customHeight="false" outlineLevel="0" collapsed="false">
      <c r="B157" s="1" t="s">
        <v>40</v>
      </c>
      <c r="C157" s="1" t="str">
        <f aca="false">VLOOKUP(B157,Tabela4[],2,FALSE())</f>
        <v>Média</v>
      </c>
      <c r="D157" s="5" t="str">
        <f aca="false">VLOOKUP(B157,Tabela4[],3,FALSE())</f>
        <v>Rio Grande do Sul</v>
      </c>
      <c r="E157" s="2" t="s">
        <v>14</v>
      </c>
      <c r="F157" s="6" t="n">
        <f aca="false">VLOOKUP($K157,'FATURAMENTO '!$A$2:$E$302,4,FALSE())</f>
        <v>40235</v>
      </c>
      <c r="G157" s="6" t="n">
        <f aca="false">VLOOKUP($K157,'FATURAMENTO '!$A$2:$E$302,5,FALSE())</f>
        <v>23150.44</v>
      </c>
      <c r="H157" s="1" t="str">
        <f aca="false">VLOOKUP($K157,CHURN!$A$2:$E$302,4,FALSE())</f>
        <v>Ativo</v>
      </c>
      <c r="I157" s="7" t="n">
        <f aca="false">(F157-G157)/F157</f>
        <v>0.424619361252641</v>
      </c>
      <c r="J157" s="1" t="str">
        <f aca="false">IF(INDEX($I$3:$I$302,MATCH(B157,$B$3:$B$302,0))&gt;50%,"Alto valor",IF(INDEX($I$3:$I$302,MATCH(B157,$B$3:$B$302,0))&gt;=30%,"Médio valor","Baixo valor"))</f>
        <v>Baixo valor</v>
      </c>
      <c r="K157" s="0" t="str">
        <f aca="false">CONCATENATE(B157,E157)</f>
        <v>Z2025-04</v>
      </c>
      <c r="L157" s="1"/>
    </row>
    <row r="158" customFormat="false" ht="14.25" hidden="false" customHeight="false" outlineLevel="0" collapsed="false">
      <c r="B158" s="1" t="s">
        <v>40</v>
      </c>
      <c r="C158" s="1" t="str">
        <f aca="false">VLOOKUP(B158,Tabela4[],2,FALSE())</f>
        <v>Média</v>
      </c>
      <c r="D158" s="5" t="str">
        <f aca="false">VLOOKUP(B158,Tabela4[],3,FALSE())</f>
        <v>Rio Grande do Sul</v>
      </c>
      <c r="E158" s="2" t="s">
        <v>15</v>
      </c>
      <c r="F158" s="6" t="n">
        <f aca="false">VLOOKUP($K158,'FATURAMENTO '!$A$2:$E$302,4,FALSE())</f>
        <v>35425</v>
      </c>
      <c r="G158" s="6" t="n">
        <f aca="false">VLOOKUP($K158,'FATURAMENTO '!$A$2:$E$302,5,FALSE())</f>
        <v>21884.63</v>
      </c>
      <c r="H158" s="1" t="str">
        <f aca="false">VLOOKUP($K158,CHURN!$A$2:$E$302,4,FALSE())</f>
        <v>Ativo</v>
      </c>
      <c r="I158" s="7" t="n">
        <f aca="false">(F158-G158)/F158</f>
        <v>0.382226393789697</v>
      </c>
      <c r="J158" s="1" t="str">
        <f aca="false">IF(INDEX($I$3:$I$302,MATCH(B158,$B$3:$B$302,0))&gt;50%,"Alto valor",IF(INDEX($I$3:$I$302,MATCH(B158,$B$3:$B$302,0))&gt;=30%,"Médio valor","Baixo valor"))</f>
        <v>Baixo valor</v>
      </c>
      <c r="K158" s="0" t="str">
        <f aca="false">CONCATENATE(B158,E158)</f>
        <v>Z2025-05</v>
      </c>
      <c r="L158" s="1"/>
    </row>
    <row r="159" customFormat="false" ht="14.25" hidden="false" customHeight="false" outlineLevel="0" collapsed="false">
      <c r="B159" s="1" t="s">
        <v>41</v>
      </c>
      <c r="C159" s="1" t="str">
        <f aca="false">VLOOKUP(B159,Tabela4[],2,FALSE())</f>
        <v>Pequena</v>
      </c>
      <c r="D159" s="5" t="str">
        <f aca="false">VLOOKUP(B159,Tabela4[],3,FALSE())</f>
        <v>Ceará</v>
      </c>
      <c r="E159" s="2" t="s">
        <v>10</v>
      </c>
      <c r="F159" s="6" t="n">
        <f aca="false">VLOOKUP($K159,'FATURAMENTO '!$A$2:$E$302,4,FALSE())</f>
        <v>28969</v>
      </c>
      <c r="G159" s="6" t="n">
        <f aca="false">VLOOKUP($K159,'FATURAMENTO '!$A$2:$E$302,5,FALSE())</f>
        <v>20582.7</v>
      </c>
      <c r="H159" s="1" t="str">
        <f aca="false">VLOOKUP($K159,CHURN!$A$2:$E$302,4,FALSE())</f>
        <v>Ativo</v>
      </c>
      <c r="I159" s="7" t="n">
        <f aca="false">(F159-G159)/F159</f>
        <v>0.289492215816908</v>
      </c>
      <c r="J159" s="1" t="str">
        <f aca="false">IF(INDEX($I$3:$I$302,MATCH(B159,$B$3:$B$302,0))&gt;50%,"Alto valor",IF(INDEX($I$3:$I$302,MATCH(B159,$B$3:$B$302,0))&gt;=30%,"Médio valor","Baixo valor"))</f>
        <v>Baixo valor</v>
      </c>
      <c r="K159" s="0" t="str">
        <f aca="false">CONCATENATE(B159,E159)</f>
        <v>AA2024-12</v>
      </c>
      <c r="L159" s="1"/>
    </row>
    <row r="160" customFormat="false" ht="14.25" hidden="false" customHeight="false" outlineLevel="0" collapsed="false">
      <c r="B160" s="1" t="s">
        <v>41</v>
      </c>
      <c r="C160" s="1" t="str">
        <f aca="false">VLOOKUP(B160,Tabela4[],2,FALSE())</f>
        <v>Pequena</v>
      </c>
      <c r="D160" s="5" t="str">
        <f aca="false">VLOOKUP(B160,Tabela4[],3,FALSE())</f>
        <v>Ceará</v>
      </c>
      <c r="E160" s="2" t="s">
        <v>11</v>
      </c>
      <c r="F160" s="6" t="n">
        <f aca="false">VLOOKUP($K160,'FATURAMENTO '!$A$2:$E$302,4,FALSE())</f>
        <v>2386</v>
      </c>
      <c r="G160" s="6" t="n">
        <f aca="false">VLOOKUP($K160,'FATURAMENTO '!$A$2:$E$302,5,FALSE())</f>
        <v>1690.13</v>
      </c>
      <c r="H160" s="1" t="str">
        <f aca="false">VLOOKUP($K160,CHURN!$A$2:$E$302,4,FALSE())</f>
        <v>Ativo</v>
      </c>
      <c r="I160" s="7" t="n">
        <f aca="false">(F160-G160)/F160</f>
        <v>0.291647108130763</v>
      </c>
      <c r="J160" s="1" t="str">
        <f aca="false">IF(INDEX($I$3:$I$302,MATCH(B160,$B$3:$B$302,0))&gt;50%,"Alto valor",IF(INDEX($I$3:$I$302,MATCH(B160,$B$3:$B$302,0))&gt;=30%,"Médio valor","Baixo valor"))</f>
        <v>Baixo valor</v>
      </c>
      <c r="K160" s="0" t="str">
        <f aca="false">CONCATENATE(B160,E160)</f>
        <v>AA2025-01</v>
      </c>
      <c r="L160" s="1"/>
    </row>
    <row r="161" customFormat="false" ht="14.25" hidden="false" customHeight="false" outlineLevel="0" collapsed="false">
      <c r="B161" s="1" t="s">
        <v>41</v>
      </c>
      <c r="C161" s="1" t="str">
        <f aca="false">VLOOKUP(B161,Tabela4[],2,FALSE())</f>
        <v>Pequena</v>
      </c>
      <c r="D161" s="5" t="str">
        <f aca="false">VLOOKUP(B161,Tabela4[],3,FALSE())</f>
        <v>Ceará</v>
      </c>
      <c r="E161" s="2" t="s">
        <v>12</v>
      </c>
      <c r="F161" s="6" t="n">
        <f aca="false">VLOOKUP($K161,'FATURAMENTO '!$A$2:$E$302,4,FALSE())</f>
        <v>40838</v>
      </c>
      <c r="G161" s="6" t="n">
        <f aca="false">VLOOKUP($K161,'FATURAMENTO '!$A$2:$E$302,5,FALSE())</f>
        <v>23362.16</v>
      </c>
      <c r="H161" s="1" t="str">
        <f aca="false">VLOOKUP($K161,CHURN!$A$2:$E$302,4,FALSE())</f>
        <v>Cancelado</v>
      </c>
      <c r="I161" s="7" t="n">
        <f aca="false">(F161-G161)/F161</f>
        <v>0.42793084871933</v>
      </c>
      <c r="J161" s="1" t="str">
        <f aca="false">IF(INDEX($I$3:$I$302,MATCH(B161,$B$3:$B$302,0))&gt;50%,"Alto valor",IF(INDEX($I$3:$I$302,MATCH(B161,$B$3:$B$302,0))&gt;=30%,"Médio valor","Baixo valor"))</f>
        <v>Baixo valor</v>
      </c>
      <c r="K161" s="0" t="str">
        <f aca="false">CONCATENATE(B161,E161)</f>
        <v>AA2025-02</v>
      </c>
      <c r="L161" s="1"/>
    </row>
    <row r="162" customFormat="false" ht="14.25" hidden="false" customHeight="false" outlineLevel="0" collapsed="false">
      <c r="B162" s="1" t="s">
        <v>41</v>
      </c>
      <c r="C162" s="1" t="str">
        <f aca="false">VLOOKUP(B162,Tabela4[],2,FALSE())</f>
        <v>Pequena</v>
      </c>
      <c r="D162" s="5" t="str">
        <f aca="false">VLOOKUP(B162,Tabela4[],3,FALSE())</f>
        <v>Ceará</v>
      </c>
      <c r="E162" s="2" t="s">
        <v>13</v>
      </c>
      <c r="F162" s="6" t="n">
        <f aca="false">VLOOKUP($K162,'FATURAMENTO '!$A$2:$E$302,4,FALSE())</f>
        <v>8978</v>
      </c>
      <c r="G162" s="6" t="n">
        <f aca="false">VLOOKUP($K162,'FATURAMENTO '!$A$2:$E$302,5,FALSE())</f>
        <v>5112.78</v>
      </c>
      <c r="H162" s="1" t="str">
        <f aca="false">VLOOKUP($K162,CHURN!$A$2:$E$302,4,FALSE())</f>
        <v>Ativo</v>
      </c>
      <c r="I162" s="7" t="n">
        <f aca="false">(F162-G162)/F162</f>
        <v>0.430521274225886</v>
      </c>
      <c r="J162" s="1" t="str">
        <f aca="false">IF(INDEX($I$3:$I$302,MATCH(B162,$B$3:$B$302,0))&gt;50%,"Alto valor",IF(INDEX($I$3:$I$302,MATCH(B162,$B$3:$B$302,0))&gt;=30%,"Médio valor","Baixo valor"))</f>
        <v>Baixo valor</v>
      </c>
      <c r="K162" s="0" t="str">
        <f aca="false">CONCATENATE(B162,E162)</f>
        <v>AA2025-03</v>
      </c>
      <c r="L162" s="1"/>
    </row>
    <row r="163" customFormat="false" ht="14.25" hidden="false" customHeight="false" outlineLevel="0" collapsed="false">
      <c r="B163" s="1" t="s">
        <v>41</v>
      </c>
      <c r="C163" s="1" t="str">
        <f aca="false">VLOOKUP(B163,Tabela4[],2,FALSE())</f>
        <v>Pequena</v>
      </c>
      <c r="D163" s="5" t="str">
        <f aca="false">VLOOKUP(B163,Tabela4[],3,FALSE())</f>
        <v>Ceará</v>
      </c>
      <c r="E163" s="2" t="s">
        <v>14</v>
      </c>
      <c r="F163" s="6" t="n">
        <f aca="false">VLOOKUP($K163,'FATURAMENTO '!$A$2:$E$302,4,FALSE())</f>
        <v>27839</v>
      </c>
      <c r="G163" s="6" t="n">
        <f aca="false">VLOOKUP($K163,'FATURAMENTO '!$A$2:$E$302,5,FALSE())</f>
        <v>17335.05</v>
      </c>
      <c r="H163" s="1" t="str">
        <f aca="false">VLOOKUP($K163,CHURN!$A$2:$E$302,4,FALSE())</f>
        <v>Ativo</v>
      </c>
      <c r="I163" s="7" t="n">
        <f aca="false">(F163-G163)/F163</f>
        <v>0.377310607421244</v>
      </c>
      <c r="J163" s="1" t="str">
        <f aca="false">IF(INDEX($I$3:$I$302,MATCH(B163,$B$3:$B$302,0))&gt;50%,"Alto valor",IF(INDEX($I$3:$I$302,MATCH(B163,$B$3:$B$302,0))&gt;=30%,"Médio valor","Baixo valor"))</f>
        <v>Baixo valor</v>
      </c>
      <c r="K163" s="0" t="str">
        <f aca="false">CONCATENATE(B163,E163)</f>
        <v>AA2025-04</v>
      </c>
      <c r="L163" s="1"/>
    </row>
    <row r="164" customFormat="false" ht="14.25" hidden="false" customHeight="false" outlineLevel="0" collapsed="false">
      <c r="B164" s="1" t="s">
        <v>41</v>
      </c>
      <c r="C164" s="1" t="str">
        <f aca="false">VLOOKUP(B164,Tabela4[],2,FALSE())</f>
        <v>Pequena</v>
      </c>
      <c r="D164" s="5" t="str">
        <f aca="false">VLOOKUP(B164,Tabela4[],3,FALSE())</f>
        <v>Ceará</v>
      </c>
      <c r="E164" s="2" t="s">
        <v>15</v>
      </c>
      <c r="F164" s="6" t="n">
        <f aca="false">VLOOKUP($K164,'FATURAMENTO '!$A$2:$E$302,4,FALSE())</f>
        <v>39248</v>
      </c>
      <c r="G164" s="6" t="n">
        <f aca="false">VLOOKUP($K164,'FATURAMENTO '!$A$2:$E$302,5,FALSE())</f>
        <v>22489.65</v>
      </c>
      <c r="H164" s="1" t="str">
        <f aca="false">VLOOKUP($K164,CHURN!$A$2:$E$302,4,FALSE())</f>
        <v>Ativo</v>
      </c>
      <c r="I164" s="7" t="n">
        <f aca="false">(F164-G164)/F164</f>
        <v>0.426986088463106</v>
      </c>
      <c r="J164" s="1" t="str">
        <f aca="false">IF(INDEX($I$3:$I$302,MATCH(B164,$B$3:$B$302,0))&gt;50%,"Alto valor",IF(INDEX($I$3:$I$302,MATCH(B164,$B$3:$B$302,0))&gt;=30%,"Médio valor","Baixo valor"))</f>
        <v>Baixo valor</v>
      </c>
      <c r="K164" s="0" t="str">
        <f aca="false">CONCATENATE(B164,E164)</f>
        <v>AA2025-05</v>
      </c>
      <c r="L164" s="1"/>
    </row>
    <row r="165" customFormat="false" ht="14.25" hidden="false" customHeight="false" outlineLevel="0" collapsed="false">
      <c r="B165" s="1" t="s">
        <v>42</v>
      </c>
      <c r="C165" s="1" t="str">
        <f aca="false">VLOOKUP(B165,Tabela4[],2,FALSE())</f>
        <v>Pequena</v>
      </c>
      <c r="D165" s="5" t="str">
        <f aca="false">VLOOKUP(B165,Tabela4[],3,FALSE())</f>
        <v>Minas Gerais</v>
      </c>
      <c r="E165" s="2" t="s">
        <v>10</v>
      </c>
      <c r="F165" s="6" t="n">
        <f aca="false">VLOOKUP($K165,'FATURAMENTO '!$A$2:$E$302,4,FALSE())</f>
        <v>23771</v>
      </c>
      <c r="G165" s="6" t="n">
        <f aca="false">VLOOKUP($K165,'FATURAMENTO '!$A$2:$E$302,5,FALSE())</f>
        <v>18909.58</v>
      </c>
      <c r="H165" s="1" t="str">
        <f aca="false">VLOOKUP($K165,CHURN!$A$2:$E$302,4,FALSE())</f>
        <v>Cancelado</v>
      </c>
      <c r="I165" s="7" t="n">
        <f aca="false">(F165-G165)/F165</f>
        <v>0.204510538050566</v>
      </c>
      <c r="J165" s="1" t="str">
        <f aca="false">IF(INDEX($I$3:$I$302,MATCH(B165,$B$3:$B$302,0))&gt;50%,"Alto valor",IF(INDEX($I$3:$I$302,MATCH(B165,$B$3:$B$302,0))&gt;=30%,"Médio valor","Baixo valor"))</f>
        <v>Baixo valor</v>
      </c>
      <c r="K165" s="0" t="str">
        <f aca="false">CONCATENATE(B165,E165)</f>
        <v>AB2024-12</v>
      </c>
      <c r="L165" s="1"/>
    </row>
    <row r="166" customFormat="false" ht="14.25" hidden="false" customHeight="false" outlineLevel="0" collapsed="false">
      <c r="B166" s="1" t="s">
        <v>42</v>
      </c>
      <c r="C166" s="1" t="str">
        <f aca="false">VLOOKUP(B166,Tabela4[],2,FALSE())</f>
        <v>Pequena</v>
      </c>
      <c r="D166" s="5" t="str">
        <f aca="false">VLOOKUP(B166,Tabela4[],3,FALSE())</f>
        <v>Minas Gerais</v>
      </c>
      <c r="E166" s="2" t="s">
        <v>11</v>
      </c>
      <c r="F166" s="6" t="n">
        <f aca="false">VLOOKUP($K166,'FATURAMENTO '!$A$2:$E$302,4,FALSE())</f>
        <v>34600</v>
      </c>
      <c r="G166" s="6" t="n">
        <f aca="false">VLOOKUP($K166,'FATURAMENTO '!$A$2:$E$302,5,FALSE())</f>
        <v>27023.13</v>
      </c>
      <c r="H166" s="1" t="str">
        <f aca="false">VLOOKUP($K166,CHURN!$A$2:$E$302,4,FALSE())</f>
        <v>Cancelado</v>
      </c>
      <c r="I166" s="7" t="n">
        <f aca="false">(F166-G166)/F166</f>
        <v>0.218984682080925</v>
      </c>
      <c r="J166" s="1" t="str">
        <f aca="false">IF(INDEX($I$3:$I$302,MATCH(B166,$B$3:$B$302,0))&gt;50%,"Alto valor",IF(INDEX($I$3:$I$302,MATCH(B166,$B$3:$B$302,0))&gt;=30%,"Médio valor","Baixo valor"))</f>
        <v>Baixo valor</v>
      </c>
      <c r="K166" s="0" t="str">
        <f aca="false">CONCATENATE(B166,E166)</f>
        <v>AB2025-01</v>
      </c>
      <c r="L166" s="1"/>
    </row>
    <row r="167" customFormat="false" ht="14.25" hidden="false" customHeight="false" outlineLevel="0" collapsed="false">
      <c r="B167" s="1" t="s">
        <v>42</v>
      </c>
      <c r="C167" s="1" t="str">
        <f aca="false">VLOOKUP(B167,Tabela4[],2,FALSE())</f>
        <v>Pequena</v>
      </c>
      <c r="D167" s="5" t="str">
        <f aca="false">VLOOKUP(B167,Tabela4[],3,FALSE())</f>
        <v>Minas Gerais</v>
      </c>
      <c r="E167" s="2" t="s">
        <v>12</v>
      </c>
      <c r="F167" s="6" t="n">
        <f aca="false">VLOOKUP($K167,'FATURAMENTO '!$A$2:$E$302,4,FALSE())</f>
        <v>22016</v>
      </c>
      <c r="G167" s="6" t="n">
        <f aca="false">VLOOKUP($K167,'FATURAMENTO '!$A$2:$E$302,5,FALSE())</f>
        <v>14173.99</v>
      </c>
      <c r="H167" s="1" t="str">
        <f aca="false">VLOOKUP($K167,CHURN!$A$2:$E$302,4,FALSE())</f>
        <v>Ativo</v>
      </c>
      <c r="I167" s="7" t="n">
        <f aca="false">(F167-G167)/F167</f>
        <v>0.356195948401163</v>
      </c>
      <c r="J167" s="1" t="str">
        <f aca="false">IF(INDEX($I$3:$I$302,MATCH(B167,$B$3:$B$302,0))&gt;50%,"Alto valor",IF(INDEX($I$3:$I$302,MATCH(B167,$B$3:$B$302,0))&gt;=30%,"Médio valor","Baixo valor"))</f>
        <v>Baixo valor</v>
      </c>
      <c r="K167" s="0" t="str">
        <f aca="false">CONCATENATE(B167,E167)</f>
        <v>AB2025-02</v>
      </c>
      <c r="L167" s="1"/>
    </row>
    <row r="168" customFormat="false" ht="14.25" hidden="false" customHeight="false" outlineLevel="0" collapsed="false">
      <c r="B168" s="1" t="s">
        <v>42</v>
      </c>
      <c r="C168" s="1" t="str">
        <f aca="false">VLOOKUP(B168,Tabela4[],2,FALSE())</f>
        <v>Pequena</v>
      </c>
      <c r="D168" s="5" t="str">
        <f aca="false">VLOOKUP(B168,Tabela4[],3,FALSE())</f>
        <v>Minas Gerais</v>
      </c>
      <c r="E168" s="2" t="s">
        <v>13</v>
      </c>
      <c r="F168" s="6" t="n">
        <f aca="false">VLOOKUP($K168,'FATURAMENTO '!$A$2:$E$302,4,FALSE())</f>
        <v>8422</v>
      </c>
      <c r="G168" s="6" t="n">
        <f aca="false">VLOOKUP($K168,'FATURAMENTO '!$A$2:$E$302,5,FALSE())</f>
        <v>4549.87</v>
      </c>
      <c r="H168" s="1" t="str">
        <f aca="false">VLOOKUP($K168,CHURN!$A$2:$E$302,4,FALSE())</f>
        <v>Ativo</v>
      </c>
      <c r="I168" s="7" t="n">
        <f aca="false">(F168-G168)/F168</f>
        <v>0.459763714082166</v>
      </c>
      <c r="J168" s="1" t="str">
        <f aca="false">IF(INDEX($I$3:$I$302,MATCH(B168,$B$3:$B$302,0))&gt;50%,"Alto valor",IF(INDEX($I$3:$I$302,MATCH(B168,$B$3:$B$302,0))&gt;=30%,"Médio valor","Baixo valor"))</f>
        <v>Baixo valor</v>
      </c>
      <c r="K168" s="0" t="str">
        <f aca="false">CONCATENATE(B168,E168)</f>
        <v>AB2025-03</v>
      </c>
      <c r="L168" s="1"/>
    </row>
    <row r="169" customFormat="false" ht="14.25" hidden="false" customHeight="false" outlineLevel="0" collapsed="false">
      <c r="B169" s="1" t="s">
        <v>42</v>
      </c>
      <c r="C169" s="1" t="str">
        <f aca="false">VLOOKUP(B169,Tabela4[],2,FALSE())</f>
        <v>Pequena</v>
      </c>
      <c r="D169" s="5" t="str">
        <f aca="false">VLOOKUP(B169,Tabela4[],3,FALSE())</f>
        <v>Minas Gerais</v>
      </c>
      <c r="E169" s="2" t="s">
        <v>14</v>
      </c>
      <c r="F169" s="6" t="n">
        <f aca="false">VLOOKUP($K169,'FATURAMENTO '!$A$2:$E$302,4,FALSE())</f>
        <v>30851</v>
      </c>
      <c r="G169" s="6" t="n">
        <f aca="false">VLOOKUP($K169,'FATURAMENTO '!$A$2:$E$302,5,FALSE())</f>
        <v>17088.32</v>
      </c>
      <c r="H169" s="1" t="str">
        <f aca="false">VLOOKUP($K169,CHURN!$A$2:$E$302,4,FALSE())</f>
        <v>Ativo</v>
      </c>
      <c r="I169" s="7" t="n">
        <f aca="false">(F169-G169)/F169</f>
        <v>0.446101585037762</v>
      </c>
      <c r="J169" s="1" t="str">
        <f aca="false">IF(INDEX($I$3:$I$302,MATCH(B169,$B$3:$B$302,0))&gt;50%,"Alto valor",IF(INDEX($I$3:$I$302,MATCH(B169,$B$3:$B$302,0))&gt;=30%,"Médio valor","Baixo valor"))</f>
        <v>Baixo valor</v>
      </c>
      <c r="K169" s="0" t="str">
        <f aca="false">CONCATENATE(B169,E169)</f>
        <v>AB2025-04</v>
      </c>
      <c r="L169" s="1"/>
    </row>
    <row r="170" customFormat="false" ht="14.25" hidden="false" customHeight="false" outlineLevel="0" collapsed="false">
      <c r="B170" s="1" t="s">
        <v>42</v>
      </c>
      <c r="C170" s="1" t="str">
        <f aca="false">VLOOKUP(B170,Tabela4[],2,FALSE())</f>
        <v>Pequena</v>
      </c>
      <c r="D170" s="5" t="str">
        <f aca="false">VLOOKUP(B170,Tabela4[],3,FALSE())</f>
        <v>Minas Gerais</v>
      </c>
      <c r="E170" s="2" t="s">
        <v>15</v>
      </c>
      <c r="F170" s="6" t="n">
        <f aca="false">VLOOKUP($K170,'FATURAMENTO '!$A$2:$E$302,4,FALSE())</f>
        <v>10593</v>
      </c>
      <c r="G170" s="6" t="n">
        <f aca="false">VLOOKUP($K170,'FATURAMENTO '!$A$2:$E$302,5,FALSE())</f>
        <v>5393.04</v>
      </c>
      <c r="H170" s="1" t="str">
        <f aca="false">VLOOKUP($K170,CHURN!$A$2:$E$302,4,FALSE())</f>
        <v>Cancelado</v>
      </c>
      <c r="I170" s="7" t="n">
        <f aca="false">(F170-G170)/F170</f>
        <v>0.490886434437836</v>
      </c>
      <c r="J170" s="1" t="str">
        <f aca="false">IF(INDEX($I$3:$I$302,MATCH(B170,$B$3:$B$302,0))&gt;50%,"Alto valor",IF(INDEX($I$3:$I$302,MATCH(B170,$B$3:$B$302,0))&gt;=30%,"Médio valor","Baixo valor"))</f>
        <v>Baixo valor</v>
      </c>
      <c r="K170" s="0" t="str">
        <f aca="false">CONCATENATE(B170,E170)</f>
        <v>AB2025-05</v>
      </c>
      <c r="L170" s="1"/>
    </row>
    <row r="171" customFormat="false" ht="14.25" hidden="false" customHeight="false" outlineLevel="0" collapsed="false">
      <c r="B171" s="1" t="s">
        <v>43</v>
      </c>
      <c r="C171" s="1" t="str">
        <f aca="false">VLOOKUP(B171,Tabela4[],2,FALSE())</f>
        <v>Pequena</v>
      </c>
      <c r="D171" s="5" t="str">
        <f aca="false">VLOOKUP(B171,Tabela4[],3,FALSE())</f>
        <v>Paraná</v>
      </c>
      <c r="E171" s="2" t="s">
        <v>10</v>
      </c>
      <c r="F171" s="6" t="n">
        <f aca="false">VLOOKUP($K171,'FATURAMENTO '!$A$2:$E$302,4,FALSE())</f>
        <v>39501</v>
      </c>
      <c r="G171" s="6" t="n">
        <f aca="false">VLOOKUP($K171,'FATURAMENTO '!$A$2:$E$302,5,FALSE())</f>
        <v>21731.37</v>
      </c>
      <c r="H171" s="1" t="str">
        <f aca="false">VLOOKUP($K171,CHURN!$A$2:$E$302,4,FALSE())</f>
        <v>Ativo</v>
      </c>
      <c r="I171" s="7" t="n">
        <f aca="false">(F171-G171)/F171</f>
        <v>0.449852661957925</v>
      </c>
      <c r="J171" s="1" t="str">
        <f aca="false">IF(INDEX($I$3:$I$302,MATCH(B171,$B$3:$B$302,0))&gt;50%,"Alto valor",IF(INDEX($I$3:$I$302,MATCH(B171,$B$3:$B$302,0))&gt;=30%,"Médio valor","Baixo valor"))</f>
        <v>Médio valor</v>
      </c>
      <c r="K171" s="0" t="str">
        <f aca="false">CONCATENATE(B171,E171)</f>
        <v>AC2024-12</v>
      </c>
      <c r="L171" s="1"/>
    </row>
    <row r="172" customFormat="false" ht="14.25" hidden="false" customHeight="false" outlineLevel="0" collapsed="false">
      <c r="B172" s="1" t="s">
        <v>43</v>
      </c>
      <c r="C172" s="1" t="str">
        <f aca="false">VLOOKUP(B172,Tabela4[],2,FALSE())</f>
        <v>Pequena</v>
      </c>
      <c r="D172" s="5" t="str">
        <f aca="false">VLOOKUP(B172,Tabela4[],3,FALSE())</f>
        <v>Paraná</v>
      </c>
      <c r="E172" s="2" t="s">
        <v>11</v>
      </c>
      <c r="F172" s="6" t="n">
        <f aca="false">VLOOKUP($K172,'FATURAMENTO '!$A$2:$E$302,4,FALSE())</f>
        <v>34417</v>
      </c>
      <c r="G172" s="6" t="n">
        <f aca="false">VLOOKUP($K172,'FATURAMENTO '!$A$2:$E$302,5,FALSE())</f>
        <v>21307.68</v>
      </c>
      <c r="H172" s="1" t="str">
        <f aca="false">VLOOKUP($K172,CHURN!$A$2:$E$302,4,FALSE())</f>
        <v>Ativo</v>
      </c>
      <c r="I172" s="7" t="n">
        <f aca="false">(F172-G172)/F172</f>
        <v>0.380896649911381</v>
      </c>
      <c r="J172" s="1" t="str">
        <f aca="false">IF(INDEX($I$3:$I$302,MATCH(B172,$B$3:$B$302,0))&gt;50%,"Alto valor",IF(INDEX($I$3:$I$302,MATCH(B172,$B$3:$B$302,0))&gt;=30%,"Médio valor","Baixo valor"))</f>
        <v>Médio valor</v>
      </c>
      <c r="K172" s="0" t="str">
        <f aca="false">CONCATENATE(B172,E172)</f>
        <v>AC2025-01</v>
      </c>
      <c r="L172" s="1"/>
    </row>
    <row r="173" customFormat="false" ht="14.25" hidden="false" customHeight="false" outlineLevel="0" collapsed="false">
      <c r="B173" s="1" t="s">
        <v>43</v>
      </c>
      <c r="C173" s="1" t="str">
        <f aca="false">VLOOKUP(B173,Tabela4[],2,FALSE())</f>
        <v>Pequena</v>
      </c>
      <c r="D173" s="5" t="str">
        <f aca="false">VLOOKUP(B173,Tabela4[],3,FALSE())</f>
        <v>Paraná</v>
      </c>
      <c r="E173" s="2" t="s">
        <v>12</v>
      </c>
      <c r="F173" s="6" t="n">
        <f aca="false">VLOOKUP($K173,'FATURAMENTO '!$A$2:$E$302,4,FALSE())</f>
        <v>21078</v>
      </c>
      <c r="G173" s="6" t="n">
        <f aca="false">VLOOKUP($K173,'FATURAMENTO '!$A$2:$E$302,5,FALSE())</f>
        <v>16782.36</v>
      </c>
      <c r="H173" s="1" t="str">
        <f aca="false">VLOOKUP($K173,CHURN!$A$2:$E$302,4,FALSE())</f>
        <v>Ativo</v>
      </c>
      <c r="I173" s="7" t="n">
        <f aca="false">(F173-G173)/F173</f>
        <v>0.20379732422431</v>
      </c>
      <c r="J173" s="1" t="str">
        <f aca="false">IF(INDEX($I$3:$I$302,MATCH(B173,$B$3:$B$302,0))&gt;50%,"Alto valor",IF(INDEX($I$3:$I$302,MATCH(B173,$B$3:$B$302,0))&gt;=30%,"Médio valor","Baixo valor"))</f>
        <v>Médio valor</v>
      </c>
      <c r="K173" s="0" t="str">
        <f aca="false">CONCATENATE(B173,E173)</f>
        <v>AC2025-02</v>
      </c>
      <c r="L173" s="1"/>
    </row>
    <row r="174" customFormat="false" ht="14.25" hidden="false" customHeight="false" outlineLevel="0" collapsed="false">
      <c r="B174" s="1" t="s">
        <v>43</v>
      </c>
      <c r="C174" s="1" t="str">
        <f aca="false">VLOOKUP(B174,Tabela4[],2,FALSE())</f>
        <v>Pequena</v>
      </c>
      <c r="D174" s="5" t="str">
        <f aca="false">VLOOKUP(B174,Tabela4[],3,FALSE())</f>
        <v>Paraná</v>
      </c>
      <c r="E174" s="2" t="s">
        <v>13</v>
      </c>
      <c r="F174" s="6" t="n">
        <f aca="false">VLOOKUP($K174,'FATURAMENTO '!$A$2:$E$302,4,FALSE())</f>
        <v>33430</v>
      </c>
      <c r="G174" s="6" t="n">
        <f aca="false">VLOOKUP($K174,'FATURAMENTO '!$A$2:$E$302,5,FALSE())</f>
        <v>22323.15</v>
      </c>
      <c r="H174" s="1" t="str">
        <f aca="false">VLOOKUP($K174,CHURN!$A$2:$E$302,4,FALSE())</f>
        <v>Ativo</v>
      </c>
      <c r="I174" s="7" t="n">
        <f aca="false">(F174-G174)/F174</f>
        <v>0.332241998205205</v>
      </c>
      <c r="J174" s="1" t="str">
        <f aca="false">IF(INDEX($I$3:$I$302,MATCH(B174,$B$3:$B$302,0))&gt;50%,"Alto valor",IF(INDEX($I$3:$I$302,MATCH(B174,$B$3:$B$302,0))&gt;=30%,"Médio valor","Baixo valor"))</f>
        <v>Médio valor</v>
      </c>
      <c r="K174" s="0" t="str">
        <f aca="false">CONCATENATE(B174,E174)</f>
        <v>AC2025-03</v>
      </c>
      <c r="L174" s="1"/>
    </row>
    <row r="175" customFormat="false" ht="14.25" hidden="false" customHeight="false" outlineLevel="0" collapsed="false">
      <c r="B175" s="1" t="s">
        <v>43</v>
      </c>
      <c r="C175" s="1" t="str">
        <f aca="false">VLOOKUP(B175,Tabela4[],2,FALSE())</f>
        <v>Pequena</v>
      </c>
      <c r="D175" s="5" t="str">
        <f aca="false">VLOOKUP(B175,Tabela4[],3,FALSE())</f>
        <v>Paraná</v>
      </c>
      <c r="E175" s="2" t="s">
        <v>14</v>
      </c>
      <c r="F175" s="6" t="n">
        <f aca="false">VLOOKUP($K175,'FATURAMENTO '!$A$2:$E$302,4,FALSE())</f>
        <v>43196</v>
      </c>
      <c r="G175" s="6" t="n">
        <f aca="false">VLOOKUP($K175,'FATURAMENTO '!$A$2:$E$302,5,FALSE())</f>
        <v>28280.79</v>
      </c>
      <c r="H175" s="1" t="str">
        <f aca="false">VLOOKUP($K175,CHURN!$A$2:$E$302,4,FALSE())</f>
        <v>Ativo</v>
      </c>
      <c r="I175" s="7" t="n">
        <f aca="false">(F175-G175)/F175</f>
        <v>0.345291462172423</v>
      </c>
      <c r="J175" s="1" t="str">
        <f aca="false">IF(INDEX($I$3:$I$302,MATCH(B175,$B$3:$B$302,0))&gt;50%,"Alto valor",IF(INDEX($I$3:$I$302,MATCH(B175,$B$3:$B$302,0))&gt;=30%,"Médio valor","Baixo valor"))</f>
        <v>Médio valor</v>
      </c>
      <c r="K175" s="0" t="str">
        <f aca="false">CONCATENATE(B175,E175)</f>
        <v>AC2025-04</v>
      </c>
      <c r="L175" s="1"/>
    </row>
    <row r="176" customFormat="false" ht="14.25" hidden="false" customHeight="false" outlineLevel="0" collapsed="false">
      <c r="B176" s="1" t="s">
        <v>43</v>
      </c>
      <c r="C176" s="1" t="str">
        <f aca="false">VLOOKUP(B176,Tabela4[],2,FALSE())</f>
        <v>Pequena</v>
      </c>
      <c r="D176" s="5" t="str">
        <f aca="false">VLOOKUP(B176,Tabela4[],3,FALSE())</f>
        <v>Paraná</v>
      </c>
      <c r="E176" s="2" t="s">
        <v>15</v>
      </c>
      <c r="F176" s="6" t="n">
        <f aca="false">VLOOKUP($K176,'FATURAMENTO '!$A$2:$E$302,4,FALSE())</f>
        <v>40074</v>
      </c>
      <c r="G176" s="6" t="n">
        <f aca="false">VLOOKUP($K176,'FATURAMENTO '!$A$2:$E$302,5,FALSE())</f>
        <v>28216.23</v>
      </c>
      <c r="H176" s="1" t="str">
        <f aca="false">VLOOKUP($K176,CHURN!$A$2:$E$302,4,FALSE())</f>
        <v>Ativo</v>
      </c>
      <c r="I176" s="7" t="n">
        <f aca="false">(F176-G176)/F176</f>
        <v>0.295896840844438</v>
      </c>
      <c r="J176" s="1" t="str">
        <f aca="false">IF(INDEX($I$3:$I$302,MATCH(B176,$B$3:$B$302,0))&gt;50%,"Alto valor",IF(INDEX($I$3:$I$302,MATCH(B176,$B$3:$B$302,0))&gt;=30%,"Médio valor","Baixo valor"))</f>
        <v>Médio valor</v>
      </c>
      <c r="K176" s="0" t="str">
        <f aca="false">CONCATENATE(B176,E176)</f>
        <v>AC2025-05</v>
      </c>
      <c r="L176" s="1"/>
    </row>
    <row r="177" customFormat="false" ht="14.25" hidden="false" customHeight="false" outlineLevel="0" collapsed="false">
      <c r="B177" s="1" t="s">
        <v>44</v>
      </c>
      <c r="C177" s="1" t="str">
        <f aca="false">VLOOKUP(B177,Tabela4[],2,FALSE())</f>
        <v>Grande</v>
      </c>
      <c r="D177" s="5" t="str">
        <f aca="false">VLOOKUP(B177,Tabela4[],3,FALSE())</f>
        <v>São Paulo</v>
      </c>
      <c r="E177" s="2" t="s">
        <v>10</v>
      </c>
      <c r="F177" s="6" t="n">
        <f aca="false">VLOOKUP($K177,'FATURAMENTO '!$A$2:$E$302,4,FALSE())</f>
        <v>15094</v>
      </c>
      <c r="G177" s="6" t="n">
        <f aca="false">VLOOKUP($K177,'FATURAMENTO '!$A$2:$E$302,5,FALSE())</f>
        <v>9779.62</v>
      </c>
      <c r="H177" s="1" t="str">
        <f aca="false">VLOOKUP($K177,CHURN!$A$2:$E$302,4,FALSE())</f>
        <v>Ativo</v>
      </c>
      <c r="I177" s="7" t="n">
        <f aca="false">(F177-G177)/F177</f>
        <v>0.352085596925931</v>
      </c>
      <c r="J177" s="1" t="str">
        <f aca="false">IF(INDEX($I$3:$I$302,MATCH(B177,$B$3:$B$302,0))&gt;50%,"Alto valor",IF(INDEX($I$3:$I$302,MATCH(B177,$B$3:$B$302,0))&gt;=30%,"Médio valor","Baixo valor"))</f>
        <v>Médio valor</v>
      </c>
      <c r="K177" s="0" t="str">
        <f aca="false">CONCATENATE(B177,E177)</f>
        <v>AD2024-12</v>
      </c>
      <c r="L177" s="1"/>
    </row>
    <row r="178" customFormat="false" ht="14.25" hidden="false" customHeight="false" outlineLevel="0" collapsed="false">
      <c r="B178" s="1" t="s">
        <v>44</v>
      </c>
      <c r="C178" s="1" t="str">
        <f aca="false">VLOOKUP(B178,Tabela4[],2,FALSE())</f>
        <v>Grande</v>
      </c>
      <c r="D178" s="5" t="str">
        <f aca="false">VLOOKUP(B178,Tabela4[],3,FALSE())</f>
        <v>São Paulo</v>
      </c>
      <c r="E178" s="2" t="s">
        <v>11</v>
      </c>
      <c r="F178" s="6" t="n">
        <f aca="false">VLOOKUP($K178,'FATURAMENTO '!$A$2:$E$302,4,FALSE())</f>
        <v>18751</v>
      </c>
      <c r="G178" s="6" t="n">
        <f aca="false">VLOOKUP($K178,'FATURAMENTO '!$A$2:$E$302,5,FALSE())</f>
        <v>12296.08</v>
      </c>
      <c r="H178" s="1" t="str">
        <f aca="false">VLOOKUP($K178,CHURN!$A$2:$E$302,4,FALSE())</f>
        <v>Ativo</v>
      </c>
      <c r="I178" s="7" t="n">
        <f aca="false">(F178-G178)/F178</f>
        <v>0.34424404031785</v>
      </c>
      <c r="J178" s="1" t="str">
        <f aca="false">IF(INDEX($I$3:$I$302,MATCH(B178,$B$3:$B$302,0))&gt;50%,"Alto valor",IF(INDEX($I$3:$I$302,MATCH(B178,$B$3:$B$302,0))&gt;=30%,"Médio valor","Baixo valor"))</f>
        <v>Médio valor</v>
      </c>
      <c r="K178" s="0" t="str">
        <f aca="false">CONCATENATE(B178,E178)</f>
        <v>AD2025-01</v>
      </c>
      <c r="L178" s="1"/>
    </row>
    <row r="179" customFormat="false" ht="14.25" hidden="false" customHeight="false" outlineLevel="0" collapsed="false">
      <c r="B179" s="1" t="s">
        <v>44</v>
      </c>
      <c r="C179" s="1" t="str">
        <f aca="false">VLOOKUP(B179,Tabela4[],2,FALSE())</f>
        <v>Grande</v>
      </c>
      <c r="D179" s="5" t="str">
        <f aca="false">VLOOKUP(B179,Tabela4[],3,FALSE())</f>
        <v>São Paulo</v>
      </c>
      <c r="E179" s="2" t="s">
        <v>12</v>
      </c>
      <c r="F179" s="6" t="n">
        <f aca="false">VLOOKUP($K179,'FATURAMENTO '!$A$2:$E$302,4,FALSE())</f>
        <v>21586</v>
      </c>
      <c r="G179" s="6" t="n">
        <f aca="false">VLOOKUP($K179,'FATURAMENTO '!$A$2:$E$302,5,FALSE())</f>
        <v>14257.13</v>
      </c>
      <c r="H179" s="1" t="str">
        <f aca="false">VLOOKUP($K179,CHURN!$A$2:$E$302,4,FALSE())</f>
        <v>Ativo</v>
      </c>
      <c r="I179" s="7" t="n">
        <f aca="false">(F179-G179)/F179</f>
        <v>0.339519596034467</v>
      </c>
      <c r="J179" s="1" t="str">
        <f aca="false">IF(INDEX($I$3:$I$302,MATCH(B179,$B$3:$B$302,0))&gt;50%,"Alto valor",IF(INDEX($I$3:$I$302,MATCH(B179,$B$3:$B$302,0))&gt;=30%,"Médio valor","Baixo valor"))</f>
        <v>Médio valor</v>
      </c>
      <c r="K179" s="0" t="str">
        <f aca="false">CONCATENATE(B179,E179)</f>
        <v>AD2025-02</v>
      </c>
      <c r="L179" s="1"/>
    </row>
    <row r="180" customFormat="false" ht="14.25" hidden="false" customHeight="false" outlineLevel="0" collapsed="false">
      <c r="B180" s="1" t="s">
        <v>44</v>
      </c>
      <c r="C180" s="1" t="str">
        <f aca="false">VLOOKUP(B180,Tabela4[],2,FALSE())</f>
        <v>Grande</v>
      </c>
      <c r="D180" s="5" t="str">
        <f aca="false">VLOOKUP(B180,Tabela4[],3,FALSE())</f>
        <v>São Paulo</v>
      </c>
      <c r="E180" s="2" t="s">
        <v>13</v>
      </c>
      <c r="F180" s="6" t="n">
        <f aca="false">VLOOKUP($K180,'FATURAMENTO '!$A$2:$E$302,4,FALSE())</f>
        <v>48315</v>
      </c>
      <c r="G180" s="6" t="n">
        <f aca="false">VLOOKUP($K180,'FATURAMENTO '!$A$2:$E$302,5,FALSE())</f>
        <v>27348.19</v>
      </c>
      <c r="H180" s="1" t="str">
        <f aca="false">VLOOKUP($K180,CHURN!$A$2:$E$302,4,FALSE())</f>
        <v>Ativo</v>
      </c>
      <c r="I180" s="7" t="n">
        <f aca="false">(F180-G180)/F180</f>
        <v>0.433960674738694</v>
      </c>
      <c r="J180" s="1" t="str">
        <f aca="false">IF(INDEX($I$3:$I$302,MATCH(B180,$B$3:$B$302,0))&gt;50%,"Alto valor",IF(INDEX($I$3:$I$302,MATCH(B180,$B$3:$B$302,0))&gt;=30%,"Médio valor","Baixo valor"))</f>
        <v>Médio valor</v>
      </c>
      <c r="K180" s="0" t="str">
        <f aca="false">CONCATENATE(B180,E180)</f>
        <v>AD2025-03</v>
      </c>
      <c r="L180" s="1"/>
    </row>
    <row r="181" customFormat="false" ht="14.25" hidden="false" customHeight="false" outlineLevel="0" collapsed="false">
      <c r="B181" s="1" t="s">
        <v>44</v>
      </c>
      <c r="C181" s="1" t="str">
        <f aca="false">VLOOKUP(B181,Tabela4[],2,FALSE())</f>
        <v>Grande</v>
      </c>
      <c r="D181" s="5" t="str">
        <f aca="false">VLOOKUP(B181,Tabela4[],3,FALSE())</f>
        <v>São Paulo</v>
      </c>
      <c r="E181" s="2" t="s">
        <v>14</v>
      </c>
      <c r="F181" s="6" t="n">
        <f aca="false">VLOOKUP($K181,'FATURAMENTO '!$A$2:$E$302,4,FALSE())</f>
        <v>7391</v>
      </c>
      <c r="G181" s="6" t="n">
        <f aca="false">VLOOKUP($K181,'FATURAMENTO '!$A$2:$E$302,5,FALSE())</f>
        <v>4785.66</v>
      </c>
      <c r="H181" s="1" t="str">
        <f aca="false">VLOOKUP($K181,CHURN!$A$2:$E$302,4,FALSE())</f>
        <v>Ativo</v>
      </c>
      <c r="I181" s="7" t="n">
        <f aca="false">(F181-G181)/F181</f>
        <v>0.35250169124611</v>
      </c>
      <c r="J181" s="1" t="str">
        <f aca="false">IF(INDEX($I$3:$I$302,MATCH(B181,$B$3:$B$302,0))&gt;50%,"Alto valor",IF(INDEX($I$3:$I$302,MATCH(B181,$B$3:$B$302,0))&gt;=30%,"Médio valor","Baixo valor"))</f>
        <v>Médio valor</v>
      </c>
      <c r="K181" s="0" t="str">
        <f aca="false">CONCATENATE(B181,E181)</f>
        <v>AD2025-04</v>
      </c>
      <c r="L181" s="1"/>
    </row>
    <row r="182" customFormat="false" ht="14.25" hidden="false" customHeight="false" outlineLevel="0" collapsed="false">
      <c r="B182" s="1" t="s">
        <v>44</v>
      </c>
      <c r="C182" s="1" t="str">
        <f aca="false">VLOOKUP(B182,Tabela4[],2,FALSE())</f>
        <v>Grande</v>
      </c>
      <c r="D182" s="5" t="str">
        <f aca="false">VLOOKUP(B182,Tabela4[],3,FALSE())</f>
        <v>São Paulo</v>
      </c>
      <c r="E182" s="2" t="s">
        <v>15</v>
      </c>
      <c r="F182" s="6" t="n">
        <f aca="false">VLOOKUP($K182,'FATURAMENTO '!$A$2:$E$302,4,FALSE())</f>
        <v>40885</v>
      </c>
      <c r="G182" s="6" t="n">
        <f aca="false">VLOOKUP($K182,'FATURAMENTO '!$A$2:$E$302,5,FALSE())</f>
        <v>25475.49</v>
      </c>
      <c r="H182" s="1" t="str">
        <f aca="false">VLOOKUP($K182,CHURN!$A$2:$E$302,4,FALSE())</f>
        <v>Ativo</v>
      </c>
      <c r="I182" s="7" t="n">
        <f aca="false">(F182-G182)/F182</f>
        <v>0.376898862663569</v>
      </c>
      <c r="J182" s="1" t="str">
        <f aca="false">IF(INDEX($I$3:$I$302,MATCH(B182,$B$3:$B$302,0))&gt;50%,"Alto valor",IF(INDEX($I$3:$I$302,MATCH(B182,$B$3:$B$302,0))&gt;=30%,"Médio valor","Baixo valor"))</f>
        <v>Médio valor</v>
      </c>
      <c r="K182" s="0" t="str">
        <f aca="false">CONCATENATE(B182,E182)</f>
        <v>AD2025-05</v>
      </c>
      <c r="L182" s="1"/>
    </row>
    <row r="183" customFormat="false" ht="14.25" hidden="false" customHeight="false" outlineLevel="0" collapsed="false">
      <c r="B183" s="1" t="s">
        <v>45</v>
      </c>
      <c r="C183" s="1" t="str">
        <f aca="false">VLOOKUP(B183,Tabela4[],2,FALSE())</f>
        <v>Grande</v>
      </c>
      <c r="D183" s="5" t="str">
        <f aca="false">VLOOKUP(B183,Tabela4[],3,FALSE())</f>
        <v>Pernambuco</v>
      </c>
      <c r="E183" s="2" t="s">
        <v>10</v>
      </c>
      <c r="F183" s="6" t="n">
        <f aca="false">VLOOKUP($K183,'FATURAMENTO '!$A$2:$E$302,4,FALSE())</f>
        <v>31309</v>
      </c>
      <c r="G183" s="6" t="n">
        <f aca="false">VLOOKUP($K183,'FATURAMENTO '!$A$2:$E$302,5,FALSE())</f>
        <v>17589.26</v>
      </c>
      <c r="H183" s="1" t="str">
        <f aca="false">VLOOKUP($K183,CHURN!$A$2:$E$302,4,FALSE())</f>
        <v>Ativo</v>
      </c>
      <c r="I183" s="7" t="n">
        <f aca="false">(F183-G183)/F183</f>
        <v>0.438204350186847</v>
      </c>
      <c r="J183" s="1" t="str">
        <f aca="false">IF(INDEX($I$3:$I$302,MATCH(B183,$B$3:$B$302,0))&gt;50%,"Alto valor",IF(INDEX($I$3:$I$302,MATCH(B183,$B$3:$B$302,0))&gt;=30%,"Médio valor","Baixo valor"))</f>
        <v>Médio valor</v>
      </c>
      <c r="K183" s="0" t="str">
        <f aca="false">CONCATENATE(B183,E183)</f>
        <v>AE2024-12</v>
      </c>
      <c r="L183" s="1"/>
    </row>
    <row r="184" customFormat="false" ht="14.25" hidden="false" customHeight="false" outlineLevel="0" collapsed="false">
      <c r="B184" s="1" t="s">
        <v>45</v>
      </c>
      <c r="C184" s="1" t="str">
        <f aca="false">VLOOKUP(B184,Tabela4[],2,FALSE())</f>
        <v>Grande</v>
      </c>
      <c r="D184" s="5" t="str">
        <f aca="false">VLOOKUP(B184,Tabela4[],3,FALSE())</f>
        <v>Pernambuco</v>
      </c>
      <c r="E184" s="2" t="s">
        <v>11</v>
      </c>
      <c r="F184" s="6" t="n">
        <f aca="false">VLOOKUP($K184,'FATURAMENTO '!$A$2:$E$302,4,FALSE())</f>
        <v>45790</v>
      </c>
      <c r="G184" s="6" t="n">
        <f aca="false">VLOOKUP($K184,'FATURAMENTO '!$A$2:$E$302,5,FALSE())</f>
        <v>26250.04</v>
      </c>
      <c r="H184" s="1" t="str">
        <f aca="false">VLOOKUP($K184,CHURN!$A$2:$E$302,4,FALSE())</f>
        <v>Ativo</v>
      </c>
      <c r="I184" s="7" t="n">
        <f aca="false">(F184-G184)/F184</f>
        <v>0.426729853679843</v>
      </c>
      <c r="J184" s="1" t="str">
        <f aca="false">IF(INDEX($I$3:$I$302,MATCH(B184,$B$3:$B$302,0))&gt;50%,"Alto valor",IF(INDEX($I$3:$I$302,MATCH(B184,$B$3:$B$302,0))&gt;=30%,"Médio valor","Baixo valor"))</f>
        <v>Médio valor</v>
      </c>
      <c r="K184" s="0" t="str">
        <f aca="false">CONCATENATE(B184,E184)</f>
        <v>AE2025-01</v>
      </c>
      <c r="L184" s="1"/>
    </row>
    <row r="185" customFormat="false" ht="14.25" hidden="false" customHeight="false" outlineLevel="0" collapsed="false">
      <c r="B185" s="1" t="s">
        <v>45</v>
      </c>
      <c r="C185" s="1" t="str">
        <f aca="false">VLOOKUP(B185,Tabela4[],2,FALSE())</f>
        <v>Grande</v>
      </c>
      <c r="D185" s="5" t="str">
        <f aca="false">VLOOKUP(B185,Tabela4[],3,FALSE())</f>
        <v>Pernambuco</v>
      </c>
      <c r="E185" s="2" t="s">
        <v>12</v>
      </c>
      <c r="F185" s="6" t="n">
        <f aca="false">VLOOKUP($K185,'FATURAMENTO '!$A$2:$E$302,4,FALSE())</f>
        <v>21228</v>
      </c>
      <c r="G185" s="6" t="n">
        <f aca="false">VLOOKUP($K185,'FATURAMENTO '!$A$2:$E$302,5,FALSE())</f>
        <v>12613.07</v>
      </c>
      <c r="H185" s="1" t="str">
        <f aca="false">VLOOKUP($K185,CHURN!$A$2:$E$302,4,FALSE())</f>
        <v>Ativo</v>
      </c>
      <c r="I185" s="7" t="n">
        <f aca="false">(F185-G185)/F185</f>
        <v>0.405828622573959</v>
      </c>
      <c r="J185" s="1" t="str">
        <f aca="false">IF(INDEX($I$3:$I$302,MATCH(B185,$B$3:$B$302,0))&gt;50%,"Alto valor",IF(INDEX($I$3:$I$302,MATCH(B185,$B$3:$B$302,0))&gt;=30%,"Médio valor","Baixo valor"))</f>
        <v>Médio valor</v>
      </c>
      <c r="K185" s="0" t="str">
        <f aca="false">CONCATENATE(B185,E185)</f>
        <v>AE2025-02</v>
      </c>
      <c r="L185" s="1"/>
    </row>
    <row r="186" customFormat="false" ht="14.25" hidden="false" customHeight="false" outlineLevel="0" collapsed="false">
      <c r="B186" s="1" t="s">
        <v>45</v>
      </c>
      <c r="C186" s="1" t="str">
        <f aca="false">VLOOKUP(B186,Tabela4[],2,FALSE())</f>
        <v>Grande</v>
      </c>
      <c r="D186" s="5" t="str">
        <f aca="false">VLOOKUP(B186,Tabela4[],3,FALSE())</f>
        <v>Pernambuco</v>
      </c>
      <c r="E186" s="2" t="s">
        <v>13</v>
      </c>
      <c r="F186" s="6" t="n">
        <f aca="false">VLOOKUP($K186,'FATURAMENTO '!$A$2:$E$302,4,FALSE())</f>
        <v>26281</v>
      </c>
      <c r="G186" s="6" t="n">
        <f aca="false">VLOOKUP($K186,'FATURAMENTO '!$A$2:$E$302,5,FALSE())</f>
        <v>17326.93</v>
      </c>
      <c r="H186" s="1" t="str">
        <f aca="false">VLOOKUP($K186,CHURN!$A$2:$E$302,4,FALSE())</f>
        <v>Ativo</v>
      </c>
      <c r="I186" s="7" t="n">
        <f aca="false">(F186-G186)/F186</f>
        <v>0.340705072105323</v>
      </c>
      <c r="J186" s="1" t="str">
        <f aca="false">IF(INDEX($I$3:$I$302,MATCH(B186,$B$3:$B$302,0))&gt;50%,"Alto valor",IF(INDEX($I$3:$I$302,MATCH(B186,$B$3:$B$302,0))&gt;=30%,"Médio valor","Baixo valor"))</f>
        <v>Médio valor</v>
      </c>
      <c r="K186" s="0" t="str">
        <f aca="false">CONCATENATE(B186,E186)</f>
        <v>AE2025-03</v>
      </c>
      <c r="L186" s="1"/>
    </row>
    <row r="187" customFormat="false" ht="14.25" hidden="false" customHeight="false" outlineLevel="0" collapsed="false">
      <c r="B187" s="1" t="s">
        <v>45</v>
      </c>
      <c r="C187" s="1" t="str">
        <f aca="false">VLOOKUP(B187,Tabela4[],2,FALSE())</f>
        <v>Grande</v>
      </c>
      <c r="D187" s="5" t="str">
        <f aca="false">VLOOKUP(B187,Tabela4[],3,FALSE())</f>
        <v>Pernambuco</v>
      </c>
      <c r="E187" s="2" t="s">
        <v>14</v>
      </c>
      <c r="F187" s="6" t="n">
        <f aca="false">VLOOKUP($K187,'FATURAMENTO '!$A$2:$E$302,4,FALSE())</f>
        <v>48670</v>
      </c>
      <c r="G187" s="6" t="n">
        <f aca="false">VLOOKUP($K187,'FATURAMENTO '!$A$2:$E$302,5,FALSE())</f>
        <v>31177.5</v>
      </c>
      <c r="H187" s="1" t="str">
        <f aca="false">VLOOKUP($K187,CHURN!$A$2:$E$302,4,FALSE())</f>
        <v>Ativo</v>
      </c>
      <c r="I187" s="7" t="n">
        <f aca="false">(F187-G187)/F187</f>
        <v>0.35941031436203</v>
      </c>
      <c r="J187" s="1" t="str">
        <f aca="false">IF(INDEX($I$3:$I$302,MATCH(B187,$B$3:$B$302,0))&gt;50%,"Alto valor",IF(INDEX($I$3:$I$302,MATCH(B187,$B$3:$B$302,0))&gt;=30%,"Médio valor","Baixo valor"))</f>
        <v>Médio valor</v>
      </c>
      <c r="K187" s="0" t="str">
        <f aca="false">CONCATENATE(B187,E187)</f>
        <v>AE2025-04</v>
      </c>
      <c r="L187" s="1"/>
    </row>
    <row r="188" customFormat="false" ht="14.25" hidden="false" customHeight="false" outlineLevel="0" collapsed="false">
      <c r="B188" s="1" t="s">
        <v>45</v>
      </c>
      <c r="C188" s="1" t="str">
        <f aca="false">VLOOKUP(B188,Tabela4[],2,FALSE())</f>
        <v>Grande</v>
      </c>
      <c r="D188" s="5" t="str">
        <f aca="false">VLOOKUP(B188,Tabela4[],3,FALSE())</f>
        <v>Pernambuco</v>
      </c>
      <c r="E188" s="2" t="s">
        <v>15</v>
      </c>
      <c r="F188" s="6" t="n">
        <f aca="false">VLOOKUP($K188,'FATURAMENTO '!$A$2:$E$302,4,FALSE())</f>
        <v>9641</v>
      </c>
      <c r="G188" s="6" t="n">
        <f aca="false">VLOOKUP($K188,'FATURAMENTO '!$A$2:$E$302,5,FALSE())</f>
        <v>5233.71</v>
      </c>
      <c r="H188" s="1" t="str">
        <f aca="false">VLOOKUP($K188,CHURN!$A$2:$E$302,4,FALSE())</f>
        <v>Ativo</v>
      </c>
      <c r="I188" s="7" t="n">
        <f aca="false">(F188-G188)/F188</f>
        <v>0.457140338139197</v>
      </c>
      <c r="J188" s="1" t="str">
        <f aca="false">IF(INDEX($I$3:$I$302,MATCH(B188,$B$3:$B$302,0))&gt;50%,"Alto valor",IF(INDEX($I$3:$I$302,MATCH(B188,$B$3:$B$302,0))&gt;=30%,"Médio valor","Baixo valor"))</f>
        <v>Médio valor</v>
      </c>
      <c r="K188" s="0" t="str">
        <f aca="false">CONCATENATE(B188,E188)</f>
        <v>AE2025-05</v>
      </c>
      <c r="L188" s="1"/>
    </row>
    <row r="189" customFormat="false" ht="14.25" hidden="false" customHeight="false" outlineLevel="0" collapsed="false">
      <c r="B189" s="1" t="s">
        <v>46</v>
      </c>
      <c r="C189" s="1" t="str">
        <f aca="false">VLOOKUP(B189,Tabela4[],2,FALSE())</f>
        <v>Grande</v>
      </c>
      <c r="D189" s="5" t="str">
        <f aca="false">VLOOKUP(B189,Tabela4[],3,FALSE())</f>
        <v>Pernambuco</v>
      </c>
      <c r="E189" s="2" t="s">
        <v>10</v>
      </c>
      <c r="F189" s="6" t="n">
        <f aca="false">VLOOKUP($K189,'FATURAMENTO '!$A$2:$E$302,4,FALSE())</f>
        <v>41093</v>
      </c>
      <c r="G189" s="6" t="n">
        <f aca="false">VLOOKUP($K189,'FATURAMENTO '!$A$2:$E$302,5,FALSE())</f>
        <v>21922.26</v>
      </c>
      <c r="H189" s="1" t="str">
        <f aca="false">VLOOKUP($K189,CHURN!$A$2:$E$302,4,FALSE())</f>
        <v>Ativo</v>
      </c>
      <c r="I189" s="7" t="n">
        <f aca="false">(F189-G189)/F189</f>
        <v>0.46652081863091</v>
      </c>
      <c r="J189" s="1" t="str">
        <f aca="false">IF(INDEX($I$3:$I$302,MATCH(B189,$B$3:$B$302,0))&gt;50%,"Alto valor",IF(INDEX($I$3:$I$302,MATCH(B189,$B$3:$B$302,0))&gt;=30%,"Médio valor","Baixo valor"))</f>
        <v>Médio valor</v>
      </c>
      <c r="K189" s="0" t="str">
        <f aca="false">CONCATENATE(B189,E189)</f>
        <v>AF2024-12</v>
      </c>
      <c r="L189" s="1"/>
    </row>
    <row r="190" customFormat="false" ht="14.25" hidden="false" customHeight="false" outlineLevel="0" collapsed="false">
      <c r="B190" s="1" t="s">
        <v>46</v>
      </c>
      <c r="C190" s="1" t="str">
        <f aca="false">VLOOKUP(B190,Tabela4[],2,FALSE())</f>
        <v>Grande</v>
      </c>
      <c r="D190" s="5" t="str">
        <f aca="false">VLOOKUP(B190,Tabela4[],3,FALSE())</f>
        <v>Pernambuco</v>
      </c>
      <c r="E190" s="2" t="s">
        <v>11</v>
      </c>
      <c r="F190" s="6" t="n">
        <f aca="false">VLOOKUP($K190,'FATURAMENTO '!$A$2:$E$302,4,FALSE())</f>
        <v>33173</v>
      </c>
      <c r="G190" s="6" t="n">
        <f aca="false">VLOOKUP($K190,'FATURAMENTO '!$A$2:$E$302,5,FALSE())</f>
        <v>20052.14</v>
      </c>
      <c r="H190" s="1" t="str">
        <f aca="false">VLOOKUP($K190,CHURN!$A$2:$E$302,4,FALSE())</f>
        <v>Ativo</v>
      </c>
      <c r="I190" s="7" t="n">
        <f aca="false">(F190-G190)/F190</f>
        <v>0.395528291080095</v>
      </c>
      <c r="J190" s="1" t="str">
        <f aca="false">IF(INDEX($I$3:$I$302,MATCH(B190,$B$3:$B$302,0))&gt;50%,"Alto valor",IF(INDEX($I$3:$I$302,MATCH(B190,$B$3:$B$302,0))&gt;=30%,"Médio valor","Baixo valor"))</f>
        <v>Médio valor</v>
      </c>
      <c r="K190" s="0" t="str">
        <f aca="false">CONCATENATE(B190,E190)</f>
        <v>AF2025-01</v>
      </c>
      <c r="L190" s="1"/>
    </row>
    <row r="191" customFormat="false" ht="14.25" hidden="false" customHeight="false" outlineLevel="0" collapsed="false">
      <c r="B191" s="1" t="s">
        <v>46</v>
      </c>
      <c r="C191" s="1" t="str">
        <f aca="false">VLOOKUP(B191,Tabela4[],2,FALSE())</f>
        <v>Grande</v>
      </c>
      <c r="D191" s="5" t="str">
        <f aca="false">VLOOKUP(B191,Tabela4[],3,FALSE())</f>
        <v>Pernambuco</v>
      </c>
      <c r="E191" s="2" t="s">
        <v>12</v>
      </c>
      <c r="F191" s="6" t="n">
        <f aca="false">VLOOKUP($K191,'FATURAMENTO '!$A$2:$E$302,4,FALSE())</f>
        <v>18640</v>
      </c>
      <c r="G191" s="6" t="n">
        <f aca="false">VLOOKUP($K191,'FATURAMENTO '!$A$2:$E$302,5,FALSE())</f>
        <v>14768.53</v>
      </c>
      <c r="H191" s="1" t="str">
        <f aca="false">VLOOKUP($K191,CHURN!$A$2:$E$302,4,FALSE())</f>
        <v>Cancelado</v>
      </c>
      <c r="I191" s="7" t="n">
        <f aca="false">(F191-G191)/F191</f>
        <v>0.207696888412017</v>
      </c>
      <c r="J191" s="1" t="str">
        <f aca="false">IF(INDEX($I$3:$I$302,MATCH(B191,$B$3:$B$302,0))&gt;50%,"Alto valor",IF(INDEX($I$3:$I$302,MATCH(B191,$B$3:$B$302,0))&gt;=30%,"Médio valor","Baixo valor"))</f>
        <v>Médio valor</v>
      </c>
      <c r="K191" s="0" t="str">
        <f aca="false">CONCATENATE(B191,E191)</f>
        <v>AF2025-02</v>
      </c>
      <c r="L191" s="1"/>
    </row>
    <row r="192" customFormat="false" ht="14.25" hidden="false" customHeight="false" outlineLevel="0" collapsed="false">
      <c r="B192" s="1" t="s">
        <v>46</v>
      </c>
      <c r="C192" s="1" t="str">
        <f aca="false">VLOOKUP(B192,Tabela4[],2,FALSE())</f>
        <v>Grande</v>
      </c>
      <c r="D192" s="5" t="str">
        <f aca="false">VLOOKUP(B192,Tabela4[],3,FALSE())</f>
        <v>Pernambuco</v>
      </c>
      <c r="E192" s="2" t="s">
        <v>13</v>
      </c>
      <c r="F192" s="6" t="n">
        <f aca="false">VLOOKUP($K192,'FATURAMENTO '!$A$2:$E$302,4,FALSE())</f>
        <v>48010</v>
      </c>
      <c r="G192" s="6" t="n">
        <f aca="false">VLOOKUP($K192,'FATURAMENTO '!$A$2:$E$302,5,FALSE())</f>
        <v>27199.53</v>
      </c>
      <c r="H192" s="1" t="str">
        <f aca="false">VLOOKUP($K192,CHURN!$A$2:$E$302,4,FALSE())</f>
        <v>Ativo</v>
      </c>
      <c r="I192" s="7" t="n">
        <f aca="false">(F192-G192)/F192</f>
        <v>0.433461153926265</v>
      </c>
      <c r="J192" s="1" t="str">
        <f aca="false">IF(INDEX($I$3:$I$302,MATCH(B192,$B$3:$B$302,0))&gt;50%,"Alto valor",IF(INDEX($I$3:$I$302,MATCH(B192,$B$3:$B$302,0))&gt;=30%,"Médio valor","Baixo valor"))</f>
        <v>Médio valor</v>
      </c>
      <c r="K192" s="0" t="str">
        <f aca="false">CONCATENATE(B192,E192)</f>
        <v>AF2025-03</v>
      </c>
      <c r="L192" s="1"/>
    </row>
    <row r="193" customFormat="false" ht="14.25" hidden="false" customHeight="false" outlineLevel="0" collapsed="false">
      <c r="B193" s="1" t="s">
        <v>46</v>
      </c>
      <c r="C193" s="1" t="str">
        <f aca="false">VLOOKUP(B193,Tabela4[],2,FALSE())</f>
        <v>Grande</v>
      </c>
      <c r="D193" s="5" t="str">
        <f aca="false">VLOOKUP(B193,Tabela4[],3,FALSE())</f>
        <v>Pernambuco</v>
      </c>
      <c r="E193" s="2" t="s">
        <v>14</v>
      </c>
      <c r="F193" s="6" t="n">
        <f aca="false">VLOOKUP($K193,'FATURAMENTO '!$A$2:$E$302,4,FALSE())</f>
        <v>29485</v>
      </c>
      <c r="G193" s="6" t="n">
        <f aca="false">VLOOKUP($K193,'FATURAMENTO '!$A$2:$E$302,5,FALSE())</f>
        <v>19892.98</v>
      </c>
      <c r="H193" s="1" t="str">
        <f aca="false">VLOOKUP($K193,CHURN!$A$2:$E$302,4,FALSE())</f>
        <v>Ativo</v>
      </c>
      <c r="I193" s="7" t="n">
        <f aca="false">(F193-G193)/F193</f>
        <v>0.325318636594879</v>
      </c>
      <c r="J193" s="1" t="str">
        <f aca="false">IF(INDEX($I$3:$I$302,MATCH(B193,$B$3:$B$302,0))&gt;50%,"Alto valor",IF(INDEX($I$3:$I$302,MATCH(B193,$B$3:$B$302,0))&gt;=30%,"Médio valor","Baixo valor"))</f>
        <v>Médio valor</v>
      </c>
      <c r="K193" s="0" t="str">
        <f aca="false">CONCATENATE(B193,E193)</f>
        <v>AF2025-04</v>
      </c>
      <c r="L193" s="1"/>
    </row>
    <row r="194" customFormat="false" ht="14.25" hidden="false" customHeight="false" outlineLevel="0" collapsed="false">
      <c r="B194" s="1" t="s">
        <v>46</v>
      </c>
      <c r="C194" s="1" t="str">
        <f aca="false">VLOOKUP(B194,Tabela4[],2,FALSE())</f>
        <v>Grande</v>
      </c>
      <c r="D194" s="5" t="str">
        <f aca="false">VLOOKUP(B194,Tabela4[],3,FALSE())</f>
        <v>Pernambuco</v>
      </c>
      <c r="E194" s="2" t="s">
        <v>15</v>
      </c>
      <c r="F194" s="6" t="n">
        <f aca="false">VLOOKUP($K194,'FATURAMENTO '!$A$2:$E$302,4,FALSE())</f>
        <v>34752</v>
      </c>
      <c r="G194" s="6" t="n">
        <f aca="false">VLOOKUP($K194,'FATURAMENTO '!$A$2:$E$302,5,FALSE())</f>
        <v>22927.79</v>
      </c>
      <c r="H194" s="1" t="str">
        <f aca="false">VLOOKUP($K194,CHURN!$A$2:$E$302,4,FALSE())</f>
        <v>Ativo</v>
      </c>
      <c r="I194" s="7" t="n">
        <f aca="false">(F194-G194)/F194</f>
        <v>0.340245453499079</v>
      </c>
      <c r="J194" s="1" t="str">
        <f aca="false">IF(INDEX($I$3:$I$302,MATCH(B194,$B$3:$B$302,0))&gt;50%,"Alto valor",IF(INDEX($I$3:$I$302,MATCH(B194,$B$3:$B$302,0))&gt;=30%,"Médio valor","Baixo valor"))</f>
        <v>Médio valor</v>
      </c>
      <c r="K194" s="0" t="str">
        <f aca="false">CONCATENATE(B194,E194)</f>
        <v>AF2025-05</v>
      </c>
      <c r="L194" s="1"/>
    </row>
    <row r="195" customFormat="false" ht="14.25" hidden="false" customHeight="false" outlineLevel="0" collapsed="false">
      <c r="B195" s="1" t="s">
        <v>47</v>
      </c>
      <c r="C195" s="1" t="str">
        <f aca="false">VLOOKUP(B195,Tabela4[],2,FALSE())</f>
        <v>Grande</v>
      </c>
      <c r="D195" s="5" t="str">
        <f aca="false">VLOOKUP(B195,Tabela4[],3,FALSE())</f>
        <v>Paraná</v>
      </c>
      <c r="E195" s="2" t="s">
        <v>10</v>
      </c>
      <c r="F195" s="6" t="n">
        <f aca="false">VLOOKUP($K195,'FATURAMENTO '!$A$2:$E$302,4,FALSE())</f>
        <v>40656</v>
      </c>
      <c r="G195" s="6" t="n">
        <f aca="false">VLOOKUP($K195,'FATURAMENTO '!$A$2:$E$302,5,FALSE())</f>
        <v>22704.4</v>
      </c>
      <c r="H195" s="1" t="str">
        <f aca="false">VLOOKUP($K195,CHURN!$A$2:$E$302,4,FALSE())</f>
        <v>Ativo</v>
      </c>
      <c r="I195" s="7" t="n">
        <f aca="false">(F195-G195)/F195</f>
        <v>0.441548602912239</v>
      </c>
      <c r="J195" s="1" t="str">
        <f aca="false">IF(INDEX($I$3:$I$302,MATCH(B195,$B$3:$B$302,0))&gt;50%,"Alto valor",IF(INDEX($I$3:$I$302,MATCH(B195,$B$3:$B$302,0))&gt;=30%,"Médio valor","Baixo valor"))</f>
        <v>Médio valor</v>
      </c>
      <c r="K195" s="0" t="str">
        <f aca="false">CONCATENATE(B195,E195)</f>
        <v>AG2024-12</v>
      </c>
      <c r="L195" s="1"/>
    </row>
    <row r="196" customFormat="false" ht="14.25" hidden="false" customHeight="false" outlineLevel="0" collapsed="false">
      <c r="B196" s="1" t="s">
        <v>47</v>
      </c>
      <c r="C196" s="1" t="str">
        <f aca="false">VLOOKUP(B196,Tabela4[],2,FALSE())</f>
        <v>Grande</v>
      </c>
      <c r="D196" s="5" t="str">
        <f aca="false">VLOOKUP(B196,Tabela4[],3,FALSE())</f>
        <v>Paraná</v>
      </c>
      <c r="E196" s="2" t="s">
        <v>11</v>
      </c>
      <c r="F196" s="6" t="n">
        <f aca="false">VLOOKUP($K196,'FATURAMENTO '!$A$2:$E$302,4,FALSE())</f>
        <v>24304</v>
      </c>
      <c r="G196" s="6" t="n">
        <f aca="false">VLOOKUP($K196,'FATURAMENTO '!$A$2:$E$302,5,FALSE())</f>
        <v>13621.69</v>
      </c>
      <c r="H196" s="1" t="str">
        <f aca="false">VLOOKUP($K196,CHURN!$A$2:$E$302,4,FALSE())</f>
        <v>Ativo</v>
      </c>
      <c r="I196" s="7" t="n">
        <f aca="false">(F196-G196)/F196</f>
        <v>0.439528884134299</v>
      </c>
      <c r="J196" s="1" t="str">
        <f aca="false">IF(INDEX($I$3:$I$302,MATCH(B196,$B$3:$B$302,0))&gt;50%,"Alto valor",IF(INDEX($I$3:$I$302,MATCH(B196,$B$3:$B$302,0))&gt;=30%,"Médio valor","Baixo valor"))</f>
        <v>Médio valor</v>
      </c>
      <c r="K196" s="0" t="str">
        <f aca="false">CONCATENATE(B196,E196)</f>
        <v>AG2025-01</v>
      </c>
      <c r="L196" s="1"/>
    </row>
    <row r="197" customFormat="false" ht="14.25" hidden="false" customHeight="false" outlineLevel="0" collapsed="false">
      <c r="B197" s="1" t="s">
        <v>47</v>
      </c>
      <c r="C197" s="1" t="str">
        <f aca="false">VLOOKUP(B197,Tabela4[],2,FALSE())</f>
        <v>Grande</v>
      </c>
      <c r="D197" s="5" t="str">
        <f aca="false">VLOOKUP(B197,Tabela4[],3,FALSE())</f>
        <v>Paraná</v>
      </c>
      <c r="E197" s="2" t="s">
        <v>12</v>
      </c>
      <c r="F197" s="6" t="n">
        <f aca="false">VLOOKUP($K197,'FATURAMENTO '!$A$2:$E$302,4,FALSE())</f>
        <v>37193</v>
      </c>
      <c r="G197" s="6" t="n">
        <f aca="false">VLOOKUP($K197,'FATURAMENTO '!$A$2:$E$302,5,FALSE())</f>
        <v>20562.38</v>
      </c>
      <c r="H197" s="1" t="str">
        <f aca="false">VLOOKUP($K197,CHURN!$A$2:$E$302,4,FALSE())</f>
        <v>Ativo</v>
      </c>
      <c r="I197" s="7" t="n">
        <f aca="false">(F197-G197)/F197</f>
        <v>0.447143817384992</v>
      </c>
      <c r="J197" s="1" t="str">
        <f aca="false">IF(INDEX($I$3:$I$302,MATCH(B197,$B$3:$B$302,0))&gt;50%,"Alto valor",IF(INDEX($I$3:$I$302,MATCH(B197,$B$3:$B$302,0))&gt;=30%,"Médio valor","Baixo valor"))</f>
        <v>Médio valor</v>
      </c>
      <c r="K197" s="0" t="str">
        <f aca="false">CONCATENATE(B197,E197)</f>
        <v>AG2025-02</v>
      </c>
      <c r="L197" s="1"/>
    </row>
    <row r="198" customFormat="false" ht="14.25" hidden="false" customHeight="false" outlineLevel="0" collapsed="false">
      <c r="B198" s="1" t="s">
        <v>47</v>
      </c>
      <c r="C198" s="1" t="str">
        <f aca="false">VLOOKUP(B198,Tabela4[],2,FALSE())</f>
        <v>Grande</v>
      </c>
      <c r="D198" s="5" t="str">
        <f aca="false">VLOOKUP(B198,Tabela4[],3,FALSE())</f>
        <v>Paraná</v>
      </c>
      <c r="E198" s="2" t="s">
        <v>13</v>
      </c>
      <c r="F198" s="6" t="n">
        <f aca="false">VLOOKUP($K198,'FATURAMENTO '!$A$2:$E$302,4,FALSE())</f>
        <v>21609</v>
      </c>
      <c r="G198" s="6" t="n">
        <f aca="false">VLOOKUP($K198,'FATURAMENTO '!$A$2:$E$302,5,FALSE())</f>
        <v>17177.59</v>
      </c>
      <c r="H198" s="1" t="str">
        <f aca="false">VLOOKUP($K198,CHURN!$A$2:$E$302,4,FALSE())</f>
        <v>Ativo</v>
      </c>
      <c r="I198" s="7" t="n">
        <f aca="false">(F198-G198)/F198</f>
        <v>0.205072423527234</v>
      </c>
      <c r="J198" s="1" t="str">
        <f aca="false">IF(INDEX($I$3:$I$302,MATCH(B198,$B$3:$B$302,0))&gt;50%,"Alto valor",IF(INDEX($I$3:$I$302,MATCH(B198,$B$3:$B$302,0))&gt;=30%,"Médio valor","Baixo valor"))</f>
        <v>Médio valor</v>
      </c>
      <c r="K198" s="0" t="str">
        <f aca="false">CONCATENATE(B198,E198)</f>
        <v>AG2025-03</v>
      </c>
      <c r="L198" s="1"/>
    </row>
    <row r="199" customFormat="false" ht="14.25" hidden="false" customHeight="false" outlineLevel="0" collapsed="false">
      <c r="B199" s="1" t="s">
        <v>47</v>
      </c>
      <c r="C199" s="1" t="str">
        <f aca="false">VLOOKUP(B199,Tabela4[],2,FALSE())</f>
        <v>Grande</v>
      </c>
      <c r="D199" s="5" t="str">
        <f aca="false">VLOOKUP(B199,Tabela4[],3,FALSE())</f>
        <v>Paraná</v>
      </c>
      <c r="E199" s="2" t="s">
        <v>14</v>
      </c>
      <c r="F199" s="6" t="n">
        <f aca="false">VLOOKUP($K199,'FATURAMENTO '!$A$2:$E$302,4,FALSE())</f>
        <v>43085</v>
      </c>
      <c r="G199" s="6" t="n">
        <f aca="false">VLOOKUP($K199,'FATURAMENTO '!$A$2:$E$302,5,FALSE())</f>
        <v>33285.85</v>
      </c>
      <c r="H199" s="1" t="str">
        <f aca="false">VLOOKUP($K199,CHURN!$A$2:$E$302,4,FALSE())</f>
        <v>Ativo</v>
      </c>
      <c r="I199" s="7" t="n">
        <f aca="false">(F199-G199)/F199</f>
        <v>0.227437623302774</v>
      </c>
      <c r="J199" s="1" t="str">
        <f aca="false">IF(INDEX($I$3:$I$302,MATCH(B199,$B$3:$B$302,0))&gt;50%,"Alto valor",IF(INDEX($I$3:$I$302,MATCH(B199,$B$3:$B$302,0))&gt;=30%,"Médio valor","Baixo valor"))</f>
        <v>Médio valor</v>
      </c>
      <c r="K199" s="0" t="str">
        <f aca="false">CONCATENATE(B199,E199)</f>
        <v>AG2025-04</v>
      </c>
      <c r="L199" s="1"/>
    </row>
    <row r="200" customFormat="false" ht="14.25" hidden="false" customHeight="false" outlineLevel="0" collapsed="false">
      <c r="B200" s="1" t="s">
        <v>47</v>
      </c>
      <c r="C200" s="1" t="str">
        <f aca="false">VLOOKUP(B200,Tabela4[],2,FALSE())</f>
        <v>Grande</v>
      </c>
      <c r="D200" s="5" t="str">
        <f aca="false">VLOOKUP(B200,Tabela4[],3,FALSE())</f>
        <v>Paraná</v>
      </c>
      <c r="E200" s="2" t="s">
        <v>15</v>
      </c>
      <c r="F200" s="6" t="n">
        <f aca="false">VLOOKUP($K200,'FATURAMENTO '!$A$2:$E$302,4,FALSE())</f>
        <v>11558</v>
      </c>
      <c r="G200" s="6" t="n">
        <f aca="false">VLOOKUP($K200,'FATURAMENTO '!$A$2:$E$302,5,FALSE())</f>
        <v>6060.8</v>
      </c>
      <c r="H200" s="1" t="str">
        <f aca="false">VLOOKUP($K200,CHURN!$A$2:$E$302,4,FALSE())</f>
        <v>Ativo</v>
      </c>
      <c r="I200" s="7" t="n">
        <f aca="false">(F200-G200)/F200</f>
        <v>0.475618619138259</v>
      </c>
      <c r="J200" s="1" t="str">
        <f aca="false">IF(INDEX($I$3:$I$302,MATCH(B200,$B$3:$B$302,0))&gt;50%,"Alto valor",IF(INDEX($I$3:$I$302,MATCH(B200,$B$3:$B$302,0))&gt;=30%,"Médio valor","Baixo valor"))</f>
        <v>Médio valor</v>
      </c>
      <c r="K200" s="0" t="str">
        <f aca="false">CONCATENATE(B200,E200)</f>
        <v>AG2025-05</v>
      </c>
      <c r="L200" s="1"/>
    </row>
    <row r="201" customFormat="false" ht="14.25" hidden="false" customHeight="false" outlineLevel="0" collapsed="false">
      <c r="B201" s="1" t="s">
        <v>48</v>
      </c>
      <c r="C201" s="1" t="str">
        <f aca="false">VLOOKUP(B201,Tabela4[],2,FALSE())</f>
        <v>Média</v>
      </c>
      <c r="D201" s="5" t="str">
        <f aca="false">VLOOKUP(B201,Tabela4[],3,FALSE())</f>
        <v>Pernambuco</v>
      </c>
      <c r="E201" s="2" t="s">
        <v>10</v>
      </c>
      <c r="F201" s="6" t="n">
        <f aca="false">VLOOKUP($K201,'FATURAMENTO '!$A$2:$E$302,4,FALSE())</f>
        <v>16766</v>
      </c>
      <c r="G201" s="6" t="n">
        <f aca="false">VLOOKUP($K201,'FATURAMENTO '!$A$2:$E$302,5,FALSE())</f>
        <v>8582.17</v>
      </c>
      <c r="H201" s="1" t="str">
        <f aca="false">VLOOKUP($K201,CHURN!$A$2:$E$302,4,FALSE())</f>
        <v>Ativo</v>
      </c>
      <c r="I201" s="7" t="n">
        <f aca="false">(F201-G201)/F201</f>
        <v>0.488120601216748</v>
      </c>
      <c r="J201" s="1" t="str">
        <f aca="false">IF(INDEX($I$3:$I$302,MATCH(B201,$B$3:$B$302,0))&gt;50%,"Alto valor",IF(INDEX($I$3:$I$302,MATCH(B201,$B$3:$B$302,0))&gt;=30%,"Médio valor","Baixo valor"))</f>
        <v>Médio valor</v>
      </c>
      <c r="K201" s="0" t="str">
        <f aca="false">CONCATENATE(B201,E201)</f>
        <v>AH2024-12</v>
      </c>
      <c r="L201" s="1"/>
    </row>
    <row r="202" customFormat="false" ht="14.25" hidden="false" customHeight="false" outlineLevel="0" collapsed="false">
      <c r="B202" s="1" t="s">
        <v>48</v>
      </c>
      <c r="C202" s="1" t="str">
        <f aca="false">VLOOKUP(B202,Tabela4[],2,FALSE())</f>
        <v>Média</v>
      </c>
      <c r="D202" s="5" t="str">
        <f aca="false">VLOOKUP(B202,Tabela4[],3,FALSE())</f>
        <v>Pernambuco</v>
      </c>
      <c r="E202" s="2" t="s">
        <v>11</v>
      </c>
      <c r="F202" s="6" t="n">
        <f aca="false">VLOOKUP($K202,'FATURAMENTO '!$A$2:$E$302,4,FALSE())</f>
        <v>23489</v>
      </c>
      <c r="G202" s="6" t="n">
        <f aca="false">VLOOKUP($K202,'FATURAMENTO '!$A$2:$E$302,5,FALSE())</f>
        <v>15820.6</v>
      </c>
      <c r="H202" s="1" t="str">
        <f aca="false">VLOOKUP($K202,CHURN!$A$2:$E$302,4,FALSE())</f>
        <v>Ativo</v>
      </c>
      <c r="I202" s="7" t="n">
        <f aca="false">(F202-G202)/F202</f>
        <v>0.326467708288986</v>
      </c>
      <c r="J202" s="1" t="str">
        <f aca="false">IF(INDEX($I$3:$I$302,MATCH(B202,$B$3:$B$302,0))&gt;50%,"Alto valor",IF(INDEX($I$3:$I$302,MATCH(B202,$B$3:$B$302,0))&gt;=30%,"Médio valor","Baixo valor"))</f>
        <v>Médio valor</v>
      </c>
      <c r="K202" s="0" t="str">
        <f aca="false">CONCATENATE(B202,E202)</f>
        <v>AH2025-01</v>
      </c>
      <c r="L202" s="1"/>
    </row>
    <row r="203" customFormat="false" ht="14.25" hidden="false" customHeight="false" outlineLevel="0" collapsed="false">
      <c r="B203" s="1" t="s">
        <v>48</v>
      </c>
      <c r="C203" s="1" t="str">
        <f aca="false">VLOOKUP(B203,Tabela4[],2,FALSE())</f>
        <v>Média</v>
      </c>
      <c r="D203" s="5" t="str">
        <f aca="false">VLOOKUP(B203,Tabela4[],3,FALSE())</f>
        <v>Pernambuco</v>
      </c>
      <c r="E203" s="2" t="s">
        <v>12</v>
      </c>
      <c r="F203" s="6" t="n">
        <f aca="false">VLOOKUP($K203,'FATURAMENTO '!$A$2:$E$302,4,FALSE())</f>
        <v>39691</v>
      </c>
      <c r="G203" s="6" t="n">
        <f aca="false">VLOOKUP($K203,'FATURAMENTO '!$A$2:$E$302,5,FALSE())</f>
        <v>23553.52</v>
      </c>
      <c r="H203" s="1" t="str">
        <f aca="false">VLOOKUP($K203,CHURN!$A$2:$E$302,4,FALSE())</f>
        <v>Cancelado</v>
      </c>
      <c r="I203" s="7" t="n">
        <f aca="false">(F203-G203)/F203</f>
        <v>0.406577813610138</v>
      </c>
      <c r="J203" s="1" t="str">
        <f aca="false">IF(INDEX($I$3:$I$302,MATCH(B203,$B$3:$B$302,0))&gt;50%,"Alto valor",IF(INDEX($I$3:$I$302,MATCH(B203,$B$3:$B$302,0))&gt;=30%,"Médio valor","Baixo valor"))</f>
        <v>Médio valor</v>
      </c>
      <c r="K203" s="0" t="str">
        <f aca="false">CONCATENATE(B203,E203)</f>
        <v>AH2025-02</v>
      </c>
      <c r="L203" s="1"/>
    </row>
    <row r="204" customFormat="false" ht="14.25" hidden="false" customHeight="false" outlineLevel="0" collapsed="false">
      <c r="B204" s="1" t="s">
        <v>48</v>
      </c>
      <c r="C204" s="1" t="str">
        <f aca="false">VLOOKUP(B204,Tabela4[],2,FALSE())</f>
        <v>Média</v>
      </c>
      <c r="D204" s="5" t="str">
        <f aca="false">VLOOKUP(B204,Tabela4[],3,FALSE())</f>
        <v>Pernambuco</v>
      </c>
      <c r="E204" s="2" t="s">
        <v>13</v>
      </c>
      <c r="F204" s="6" t="n">
        <f aca="false">VLOOKUP($K204,'FATURAMENTO '!$A$2:$E$302,4,FALSE())</f>
        <v>31187</v>
      </c>
      <c r="G204" s="6" t="n">
        <f aca="false">VLOOKUP($K204,'FATURAMENTO '!$A$2:$E$302,5,FALSE())</f>
        <v>24444.18</v>
      </c>
      <c r="H204" s="1" t="str">
        <f aca="false">VLOOKUP($K204,CHURN!$A$2:$E$302,4,FALSE())</f>
        <v>Ativo</v>
      </c>
      <c r="I204" s="7" t="n">
        <f aca="false">(F204-G204)/F204</f>
        <v>0.216206111520826</v>
      </c>
      <c r="J204" s="1" t="str">
        <f aca="false">IF(INDEX($I$3:$I$302,MATCH(B204,$B$3:$B$302,0))&gt;50%,"Alto valor",IF(INDEX($I$3:$I$302,MATCH(B204,$B$3:$B$302,0))&gt;=30%,"Médio valor","Baixo valor"))</f>
        <v>Médio valor</v>
      </c>
      <c r="K204" s="0" t="str">
        <f aca="false">CONCATENATE(B204,E204)</f>
        <v>AH2025-03</v>
      </c>
      <c r="L204" s="1"/>
    </row>
    <row r="205" customFormat="false" ht="14.25" hidden="false" customHeight="false" outlineLevel="0" collapsed="false">
      <c r="B205" s="1" t="s">
        <v>48</v>
      </c>
      <c r="C205" s="1" t="str">
        <f aca="false">VLOOKUP(B205,Tabela4[],2,FALSE())</f>
        <v>Média</v>
      </c>
      <c r="D205" s="5" t="str">
        <f aca="false">VLOOKUP(B205,Tabela4[],3,FALSE())</f>
        <v>Pernambuco</v>
      </c>
      <c r="E205" s="2" t="s">
        <v>14</v>
      </c>
      <c r="F205" s="6" t="n">
        <f aca="false">VLOOKUP($K205,'FATURAMENTO '!$A$2:$E$302,4,FALSE())</f>
        <v>48779</v>
      </c>
      <c r="G205" s="6" t="n">
        <f aca="false">VLOOKUP($K205,'FATURAMENTO '!$A$2:$E$302,5,FALSE())</f>
        <v>25101.9</v>
      </c>
      <c r="H205" s="1" t="str">
        <f aca="false">VLOOKUP($K205,CHURN!$A$2:$E$302,4,FALSE())</f>
        <v>Ativo</v>
      </c>
      <c r="I205" s="7" t="n">
        <f aca="false">(F205-G205)/F205</f>
        <v>0.485395354558314</v>
      </c>
      <c r="J205" s="1" t="str">
        <f aca="false">IF(INDEX($I$3:$I$302,MATCH(B205,$B$3:$B$302,0))&gt;50%,"Alto valor",IF(INDEX($I$3:$I$302,MATCH(B205,$B$3:$B$302,0))&gt;=30%,"Médio valor","Baixo valor"))</f>
        <v>Médio valor</v>
      </c>
      <c r="K205" s="0" t="str">
        <f aca="false">CONCATENATE(B205,E205)</f>
        <v>AH2025-04</v>
      </c>
      <c r="L205" s="1"/>
    </row>
    <row r="206" customFormat="false" ht="14.25" hidden="false" customHeight="false" outlineLevel="0" collapsed="false">
      <c r="B206" s="1" t="s">
        <v>48</v>
      </c>
      <c r="C206" s="1" t="str">
        <f aca="false">VLOOKUP(B206,Tabela4[],2,FALSE())</f>
        <v>Média</v>
      </c>
      <c r="D206" s="5" t="str">
        <f aca="false">VLOOKUP(B206,Tabela4[],3,FALSE())</f>
        <v>Pernambuco</v>
      </c>
      <c r="E206" s="2" t="s">
        <v>15</v>
      </c>
      <c r="F206" s="6" t="n">
        <f aca="false">VLOOKUP($K206,'FATURAMENTO '!$A$2:$E$302,4,FALSE())</f>
        <v>23356</v>
      </c>
      <c r="G206" s="6" t="n">
        <f aca="false">VLOOKUP($K206,'FATURAMENTO '!$A$2:$E$302,5,FALSE())</f>
        <v>16493.52</v>
      </c>
      <c r="H206" s="1" t="str">
        <f aca="false">VLOOKUP($K206,CHURN!$A$2:$E$302,4,FALSE())</f>
        <v>Ativo</v>
      </c>
      <c r="I206" s="7" t="n">
        <f aca="false">(F206-G206)/F206</f>
        <v>0.293820859736256</v>
      </c>
      <c r="J206" s="1" t="str">
        <f aca="false">IF(INDEX($I$3:$I$302,MATCH(B206,$B$3:$B$302,0))&gt;50%,"Alto valor",IF(INDEX($I$3:$I$302,MATCH(B206,$B$3:$B$302,0))&gt;=30%,"Médio valor","Baixo valor"))</f>
        <v>Médio valor</v>
      </c>
      <c r="K206" s="0" t="str">
        <f aca="false">CONCATENATE(B206,E206)</f>
        <v>AH2025-05</v>
      </c>
      <c r="L206" s="1"/>
    </row>
    <row r="207" customFormat="false" ht="14.25" hidden="false" customHeight="false" outlineLevel="0" collapsed="false">
      <c r="B207" s="1" t="s">
        <v>49</v>
      </c>
      <c r="C207" s="1" t="str">
        <f aca="false">VLOOKUP(B207,Tabela4[],2,FALSE())</f>
        <v>Média</v>
      </c>
      <c r="D207" s="5" t="str">
        <f aca="false">VLOOKUP(B207,Tabela4[],3,FALSE())</f>
        <v>Pernambuco</v>
      </c>
      <c r="E207" s="2" t="s">
        <v>10</v>
      </c>
      <c r="F207" s="6" t="n">
        <f aca="false">VLOOKUP($K207,'FATURAMENTO '!$A$2:$E$302,4,FALSE())</f>
        <v>44167</v>
      </c>
      <c r="G207" s="6" t="n">
        <f aca="false">VLOOKUP($K207,'FATURAMENTO '!$A$2:$E$302,5,FALSE())</f>
        <v>31937.48</v>
      </c>
      <c r="H207" s="1" t="str">
        <f aca="false">VLOOKUP($K207,CHURN!$A$2:$E$302,4,FALSE())</f>
        <v>Ativo</v>
      </c>
      <c r="I207" s="7" t="n">
        <f aca="false">(F207-G207)/F207</f>
        <v>0.276892702696583</v>
      </c>
      <c r="J207" s="1" t="str">
        <f aca="false">IF(INDEX($I$3:$I$302,MATCH(B207,$B$3:$B$302,0))&gt;50%,"Alto valor",IF(INDEX($I$3:$I$302,MATCH(B207,$B$3:$B$302,0))&gt;=30%,"Médio valor","Baixo valor"))</f>
        <v>Baixo valor</v>
      </c>
      <c r="K207" s="0" t="str">
        <f aca="false">CONCATENATE(B207,E207)</f>
        <v>AI2024-12</v>
      </c>
      <c r="L207" s="1"/>
    </row>
    <row r="208" customFormat="false" ht="14.25" hidden="false" customHeight="false" outlineLevel="0" collapsed="false">
      <c r="B208" s="1" t="s">
        <v>49</v>
      </c>
      <c r="C208" s="1" t="str">
        <f aca="false">VLOOKUP(B208,Tabela4[],2,FALSE())</f>
        <v>Média</v>
      </c>
      <c r="D208" s="5" t="str">
        <f aca="false">VLOOKUP(B208,Tabela4[],3,FALSE())</f>
        <v>Pernambuco</v>
      </c>
      <c r="E208" s="2" t="s">
        <v>11</v>
      </c>
      <c r="F208" s="6" t="n">
        <f aca="false">VLOOKUP($K208,'FATURAMENTO '!$A$2:$E$302,4,FALSE())</f>
        <v>15485</v>
      </c>
      <c r="G208" s="6" t="n">
        <f aca="false">VLOOKUP($K208,'FATURAMENTO '!$A$2:$E$302,5,FALSE())</f>
        <v>9387.87</v>
      </c>
      <c r="H208" s="1" t="str">
        <f aca="false">VLOOKUP($K208,CHURN!$A$2:$E$302,4,FALSE())</f>
        <v>Ativo</v>
      </c>
      <c r="I208" s="7" t="n">
        <f aca="false">(F208-G208)/F208</f>
        <v>0.393744268647078</v>
      </c>
      <c r="J208" s="1" t="str">
        <f aca="false">IF(INDEX($I$3:$I$302,MATCH(B208,$B$3:$B$302,0))&gt;50%,"Alto valor",IF(INDEX($I$3:$I$302,MATCH(B208,$B$3:$B$302,0))&gt;=30%,"Médio valor","Baixo valor"))</f>
        <v>Baixo valor</v>
      </c>
      <c r="K208" s="0" t="str">
        <f aca="false">CONCATENATE(B208,E208)</f>
        <v>AI2025-01</v>
      </c>
      <c r="L208" s="1"/>
    </row>
    <row r="209" customFormat="false" ht="14.25" hidden="false" customHeight="false" outlineLevel="0" collapsed="false">
      <c r="B209" s="1" t="s">
        <v>49</v>
      </c>
      <c r="C209" s="1" t="str">
        <f aca="false">VLOOKUP(B209,Tabela4[],2,FALSE())</f>
        <v>Média</v>
      </c>
      <c r="D209" s="5" t="str">
        <f aca="false">VLOOKUP(B209,Tabela4[],3,FALSE())</f>
        <v>Pernambuco</v>
      </c>
      <c r="E209" s="2" t="s">
        <v>12</v>
      </c>
      <c r="F209" s="6" t="n">
        <f aca="false">VLOOKUP($K209,'FATURAMENTO '!$A$2:$E$302,4,FALSE())</f>
        <v>38762</v>
      </c>
      <c r="G209" s="6" t="n">
        <f aca="false">VLOOKUP($K209,'FATURAMENTO '!$A$2:$E$302,5,FALSE())</f>
        <v>19724.79</v>
      </c>
      <c r="H209" s="1" t="str">
        <f aca="false">VLOOKUP($K209,CHURN!$A$2:$E$302,4,FALSE())</f>
        <v>Cancelado</v>
      </c>
      <c r="I209" s="7" t="n">
        <f aca="false">(F209-G209)/F209</f>
        <v>0.491130746607502</v>
      </c>
      <c r="J209" s="1" t="str">
        <f aca="false">IF(INDEX($I$3:$I$302,MATCH(B209,$B$3:$B$302,0))&gt;50%,"Alto valor",IF(INDEX($I$3:$I$302,MATCH(B209,$B$3:$B$302,0))&gt;=30%,"Médio valor","Baixo valor"))</f>
        <v>Baixo valor</v>
      </c>
      <c r="K209" s="0" t="str">
        <f aca="false">CONCATENATE(B209,E209)</f>
        <v>AI2025-02</v>
      </c>
      <c r="L209" s="1"/>
    </row>
    <row r="210" customFormat="false" ht="14.25" hidden="false" customHeight="false" outlineLevel="0" collapsed="false">
      <c r="B210" s="1" t="s">
        <v>49</v>
      </c>
      <c r="C210" s="1" t="str">
        <f aca="false">VLOOKUP(B210,Tabela4[],2,FALSE())</f>
        <v>Média</v>
      </c>
      <c r="D210" s="5" t="str">
        <f aca="false">VLOOKUP(B210,Tabela4[],3,FALSE())</f>
        <v>Pernambuco</v>
      </c>
      <c r="E210" s="2" t="s">
        <v>13</v>
      </c>
      <c r="F210" s="6" t="n">
        <f aca="false">VLOOKUP($K210,'FATURAMENTO '!$A$2:$E$302,4,FALSE())</f>
        <v>16173</v>
      </c>
      <c r="G210" s="6" t="n">
        <f aca="false">VLOOKUP($K210,'FATURAMENTO '!$A$2:$E$302,5,FALSE())</f>
        <v>10475.1</v>
      </c>
      <c r="H210" s="1" t="str">
        <f aca="false">VLOOKUP($K210,CHURN!$A$2:$E$302,4,FALSE())</f>
        <v>Ativo</v>
      </c>
      <c r="I210" s="7" t="n">
        <f aca="false">(F210-G210)/F210</f>
        <v>0.352309404563161</v>
      </c>
      <c r="J210" s="1" t="str">
        <f aca="false">IF(INDEX($I$3:$I$302,MATCH(B210,$B$3:$B$302,0))&gt;50%,"Alto valor",IF(INDEX($I$3:$I$302,MATCH(B210,$B$3:$B$302,0))&gt;=30%,"Médio valor","Baixo valor"))</f>
        <v>Baixo valor</v>
      </c>
      <c r="K210" s="0" t="str">
        <f aca="false">CONCATENATE(B210,E210)</f>
        <v>AI2025-03</v>
      </c>
      <c r="L210" s="1"/>
    </row>
    <row r="211" customFormat="false" ht="14.25" hidden="false" customHeight="false" outlineLevel="0" collapsed="false">
      <c r="B211" s="1" t="s">
        <v>49</v>
      </c>
      <c r="C211" s="1" t="str">
        <f aca="false">VLOOKUP(B211,Tabela4[],2,FALSE())</f>
        <v>Média</v>
      </c>
      <c r="D211" s="5" t="str">
        <f aca="false">VLOOKUP(B211,Tabela4[],3,FALSE())</f>
        <v>Pernambuco</v>
      </c>
      <c r="E211" s="2" t="s">
        <v>14</v>
      </c>
      <c r="F211" s="6" t="n">
        <f aca="false">VLOOKUP($K211,'FATURAMENTO '!$A$2:$E$302,4,FALSE())</f>
        <v>6759</v>
      </c>
      <c r="G211" s="6" t="n">
        <f aca="false">VLOOKUP($K211,'FATURAMENTO '!$A$2:$E$302,5,FALSE())</f>
        <v>4409.12</v>
      </c>
      <c r="H211" s="1" t="str">
        <f aca="false">VLOOKUP($K211,CHURN!$A$2:$E$302,4,FALSE())</f>
        <v>Ativo</v>
      </c>
      <c r="I211" s="7" t="n">
        <f aca="false">(F211-G211)/F211</f>
        <v>0.347666814617547</v>
      </c>
      <c r="J211" s="1" t="str">
        <f aca="false">IF(INDEX($I$3:$I$302,MATCH(B211,$B$3:$B$302,0))&gt;50%,"Alto valor",IF(INDEX($I$3:$I$302,MATCH(B211,$B$3:$B$302,0))&gt;=30%,"Médio valor","Baixo valor"))</f>
        <v>Baixo valor</v>
      </c>
      <c r="K211" s="0" t="str">
        <f aca="false">CONCATENATE(B211,E211)</f>
        <v>AI2025-04</v>
      </c>
      <c r="L211" s="1"/>
    </row>
    <row r="212" customFormat="false" ht="14.25" hidden="false" customHeight="false" outlineLevel="0" collapsed="false">
      <c r="B212" s="1" t="s">
        <v>49</v>
      </c>
      <c r="C212" s="1" t="str">
        <f aca="false">VLOOKUP(B212,Tabela4[],2,FALSE())</f>
        <v>Média</v>
      </c>
      <c r="D212" s="5" t="str">
        <f aca="false">VLOOKUP(B212,Tabela4[],3,FALSE())</f>
        <v>Pernambuco</v>
      </c>
      <c r="E212" s="2" t="s">
        <v>15</v>
      </c>
      <c r="F212" s="6" t="n">
        <f aca="false">VLOOKUP($K212,'FATURAMENTO '!$A$2:$E$302,4,FALSE())</f>
        <v>28458</v>
      </c>
      <c r="G212" s="6" t="n">
        <f aca="false">VLOOKUP($K212,'FATURAMENTO '!$A$2:$E$302,5,FALSE())</f>
        <v>20445.29</v>
      </c>
      <c r="H212" s="1" t="str">
        <f aca="false">VLOOKUP($K212,CHURN!$A$2:$E$302,4,FALSE())</f>
        <v>Ativo</v>
      </c>
      <c r="I212" s="7" t="n">
        <f aca="false">(F212-G212)/F212</f>
        <v>0.281562653735329</v>
      </c>
      <c r="J212" s="1" t="str">
        <f aca="false">IF(INDEX($I$3:$I$302,MATCH(B212,$B$3:$B$302,0))&gt;50%,"Alto valor",IF(INDEX($I$3:$I$302,MATCH(B212,$B$3:$B$302,0))&gt;=30%,"Médio valor","Baixo valor"))</f>
        <v>Baixo valor</v>
      </c>
      <c r="K212" s="0" t="str">
        <f aca="false">CONCATENATE(B212,E212)</f>
        <v>AI2025-05</v>
      </c>
      <c r="L212" s="1"/>
    </row>
    <row r="213" customFormat="false" ht="14.25" hidden="false" customHeight="false" outlineLevel="0" collapsed="false">
      <c r="B213" s="1" t="s">
        <v>50</v>
      </c>
      <c r="C213" s="1" t="str">
        <f aca="false">VLOOKUP(B213,Tabela4[],2,FALSE())</f>
        <v>Grande</v>
      </c>
      <c r="D213" s="5" t="str">
        <f aca="false">VLOOKUP(B213,Tabela4[],3,FALSE())</f>
        <v>São Paulo</v>
      </c>
      <c r="E213" s="2" t="s">
        <v>10</v>
      </c>
      <c r="F213" s="6" t="n">
        <f aca="false">VLOOKUP($K213,'FATURAMENTO '!$A$2:$E$302,4,FALSE())</f>
        <v>12535</v>
      </c>
      <c r="G213" s="6" t="n">
        <f aca="false">VLOOKUP($K213,'FATURAMENTO '!$A$2:$E$302,5,FALSE())</f>
        <v>7983.67</v>
      </c>
      <c r="H213" s="1" t="str">
        <f aca="false">VLOOKUP($K213,CHURN!$A$2:$E$302,4,FALSE())</f>
        <v>Ativo</v>
      </c>
      <c r="I213" s="7" t="n">
        <f aca="false">(F213-G213)/F213</f>
        <v>0.36308974870363</v>
      </c>
      <c r="J213" s="1" t="str">
        <f aca="false">IF(INDEX($I$3:$I$302,MATCH(B213,$B$3:$B$302,0))&gt;50%,"Alto valor",IF(INDEX($I$3:$I$302,MATCH(B213,$B$3:$B$302,0))&gt;=30%,"Médio valor","Baixo valor"))</f>
        <v>Médio valor</v>
      </c>
      <c r="K213" s="0" t="str">
        <f aca="false">CONCATENATE(B213,E213)</f>
        <v>AJ2024-12</v>
      </c>
      <c r="L213" s="1"/>
    </row>
    <row r="214" customFormat="false" ht="14.25" hidden="false" customHeight="false" outlineLevel="0" collapsed="false">
      <c r="B214" s="1" t="s">
        <v>50</v>
      </c>
      <c r="C214" s="1" t="str">
        <f aca="false">VLOOKUP(B214,Tabela4[],2,FALSE())</f>
        <v>Grande</v>
      </c>
      <c r="D214" s="5" t="str">
        <f aca="false">VLOOKUP(B214,Tabela4[],3,FALSE())</f>
        <v>São Paulo</v>
      </c>
      <c r="E214" s="2" t="s">
        <v>11</v>
      </c>
      <c r="F214" s="6" t="n">
        <f aca="false">VLOOKUP($K214,'FATURAMENTO '!$A$2:$E$302,4,FALSE())</f>
        <v>27318</v>
      </c>
      <c r="G214" s="6" t="n">
        <f aca="false">VLOOKUP($K214,'FATURAMENTO '!$A$2:$E$302,5,FALSE())</f>
        <v>16716.76</v>
      </c>
      <c r="H214" s="1" t="str">
        <f aca="false">VLOOKUP($K214,CHURN!$A$2:$E$302,4,FALSE())</f>
        <v>Ativo</v>
      </c>
      <c r="I214" s="7" t="n">
        <f aca="false">(F214-G214)/F214</f>
        <v>0.388067940552017</v>
      </c>
      <c r="J214" s="1" t="str">
        <f aca="false">IF(INDEX($I$3:$I$302,MATCH(B214,$B$3:$B$302,0))&gt;50%,"Alto valor",IF(INDEX($I$3:$I$302,MATCH(B214,$B$3:$B$302,0))&gt;=30%,"Médio valor","Baixo valor"))</f>
        <v>Médio valor</v>
      </c>
      <c r="K214" s="0" t="str">
        <f aca="false">CONCATENATE(B214,E214)</f>
        <v>AJ2025-01</v>
      </c>
      <c r="L214" s="1"/>
    </row>
    <row r="215" customFormat="false" ht="14.25" hidden="false" customHeight="false" outlineLevel="0" collapsed="false">
      <c r="B215" s="1" t="s">
        <v>50</v>
      </c>
      <c r="C215" s="1" t="str">
        <f aca="false">VLOOKUP(B215,Tabela4[],2,FALSE())</f>
        <v>Grande</v>
      </c>
      <c r="D215" s="5" t="str">
        <f aca="false">VLOOKUP(B215,Tabela4[],3,FALSE())</f>
        <v>São Paulo</v>
      </c>
      <c r="E215" s="2" t="s">
        <v>12</v>
      </c>
      <c r="F215" s="6" t="n">
        <f aca="false">VLOOKUP($K215,'FATURAMENTO '!$A$2:$E$302,4,FALSE())</f>
        <v>40616</v>
      </c>
      <c r="G215" s="6" t="n">
        <f aca="false">VLOOKUP($K215,'FATURAMENTO '!$A$2:$E$302,5,FALSE())</f>
        <v>31661.94</v>
      </c>
      <c r="H215" s="1" t="str">
        <f aca="false">VLOOKUP($K215,CHURN!$A$2:$E$302,4,FALSE())</f>
        <v>Cancelado</v>
      </c>
      <c r="I215" s="7" t="n">
        <f aca="false">(F215-G215)/F215</f>
        <v>0.22045647035651</v>
      </c>
      <c r="J215" s="1" t="str">
        <f aca="false">IF(INDEX($I$3:$I$302,MATCH(B215,$B$3:$B$302,0))&gt;50%,"Alto valor",IF(INDEX($I$3:$I$302,MATCH(B215,$B$3:$B$302,0))&gt;=30%,"Médio valor","Baixo valor"))</f>
        <v>Médio valor</v>
      </c>
      <c r="K215" s="0" t="str">
        <f aca="false">CONCATENATE(B215,E215)</f>
        <v>AJ2025-02</v>
      </c>
      <c r="L215" s="1"/>
    </row>
    <row r="216" customFormat="false" ht="14.25" hidden="false" customHeight="false" outlineLevel="0" collapsed="false">
      <c r="B216" s="1" t="s">
        <v>50</v>
      </c>
      <c r="C216" s="1" t="str">
        <f aca="false">VLOOKUP(B216,Tabela4[],2,FALSE())</f>
        <v>Grande</v>
      </c>
      <c r="D216" s="5" t="str">
        <f aca="false">VLOOKUP(B216,Tabela4[],3,FALSE())</f>
        <v>São Paulo</v>
      </c>
      <c r="E216" s="2" t="s">
        <v>13</v>
      </c>
      <c r="F216" s="6" t="n">
        <f aca="false">VLOOKUP($K216,'FATURAMENTO '!$A$2:$E$302,4,FALSE())</f>
        <v>11782</v>
      </c>
      <c r="G216" s="6" t="n">
        <f aca="false">VLOOKUP($K216,'FATURAMENTO '!$A$2:$E$302,5,FALSE())</f>
        <v>8272.63</v>
      </c>
      <c r="H216" s="1" t="str">
        <f aca="false">VLOOKUP($K216,CHURN!$A$2:$E$302,4,FALSE())</f>
        <v>Ativo</v>
      </c>
      <c r="I216" s="7" t="n">
        <f aca="false">(F216-G216)/F216</f>
        <v>0.297858597861144</v>
      </c>
      <c r="J216" s="1" t="str">
        <f aca="false">IF(INDEX($I$3:$I$302,MATCH(B216,$B$3:$B$302,0))&gt;50%,"Alto valor",IF(INDEX($I$3:$I$302,MATCH(B216,$B$3:$B$302,0))&gt;=30%,"Médio valor","Baixo valor"))</f>
        <v>Médio valor</v>
      </c>
      <c r="K216" s="0" t="str">
        <f aca="false">CONCATENATE(B216,E216)</f>
        <v>AJ2025-03</v>
      </c>
      <c r="L216" s="1"/>
    </row>
    <row r="217" customFormat="false" ht="14.25" hidden="false" customHeight="false" outlineLevel="0" collapsed="false">
      <c r="B217" s="1" t="s">
        <v>50</v>
      </c>
      <c r="C217" s="1" t="str">
        <f aca="false">VLOOKUP(B217,Tabela4[],2,FALSE())</f>
        <v>Grande</v>
      </c>
      <c r="D217" s="5" t="str">
        <f aca="false">VLOOKUP(B217,Tabela4[],3,FALSE())</f>
        <v>São Paulo</v>
      </c>
      <c r="E217" s="2" t="s">
        <v>14</v>
      </c>
      <c r="F217" s="6" t="n">
        <f aca="false">VLOOKUP($K217,'FATURAMENTO '!$A$2:$E$302,4,FALSE())</f>
        <v>15728</v>
      </c>
      <c r="G217" s="6" t="n">
        <f aca="false">VLOOKUP($K217,'FATURAMENTO '!$A$2:$E$302,5,FALSE())</f>
        <v>9077.73</v>
      </c>
      <c r="H217" s="1" t="str">
        <f aca="false">VLOOKUP($K217,CHURN!$A$2:$E$302,4,FALSE())</f>
        <v>Ativo</v>
      </c>
      <c r="I217" s="7" t="n">
        <f aca="false">(F217-G217)/F217</f>
        <v>0.42282998474059</v>
      </c>
      <c r="J217" s="1" t="str">
        <f aca="false">IF(INDEX($I$3:$I$302,MATCH(B217,$B$3:$B$302,0))&gt;50%,"Alto valor",IF(INDEX($I$3:$I$302,MATCH(B217,$B$3:$B$302,0))&gt;=30%,"Médio valor","Baixo valor"))</f>
        <v>Médio valor</v>
      </c>
      <c r="K217" s="0" t="str">
        <f aca="false">CONCATENATE(B217,E217)</f>
        <v>AJ2025-04</v>
      </c>
      <c r="L217" s="1"/>
    </row>
    <row r="218" customFormat="false" ht="14.25" hidden="false" customHeight="false" outlineLevel="0" collapsed="false">
      <c r="B218" s="1" t="s">
        <v>50</v>
      </c>
      <c r="C218" s="1" t="str">
        <f aca="false">VLOOKUP(B218,Tabela4[],2,FALSE())</f>
        <v>Grande</v>
      </c>
      <c r="D218" s="5" t="str">
        <f aca="false">VLOOKUP(B218,Tabela4[],3,FALSE())</f>
        <v>São Paulo</v>
      </c>
      <c r="E218" s="2" t="s">
        <v>15</v>
      </c>
      <c r="F218" s="6" t="n">
        <f aca="false">VLOOKUP($K218,'FATURAMENTO '!$A$2:$E$302,4,FALSE())</f>
        <v>43830</v>
      </c>
      <c r="G218" s="6" t="n">
        <f aca="false">VLOOKUP($K218,'FATURAMENTO '!$A$2:$E$302,5,FALSE())</f>
        <v>29407.77</v>
      </c>
      <c r="H218" s="1" t="str">
        <f aca="false">VLOOKUP($K218,CHURN!$A$2:$E$302,4,FALSE())</f>
        <v>Ativo</v>
      </c>
      <c r="I218" s="7" t="n">
        <f aca="false">(F218-G218)/F218</f>
        <v>0.329049281314168</v>
      </c>
      <c r="J218" s="1" t="str">
        <f aca="false">IF(INDEX($I$3:$I$302,MATCH(B218,$B$3:$B$302,0))&gt;50%,"Alto valor",IF(INDEX($I$3:$I$302,MATCH(B218,$B$3:$B$302,0))&gt;=30%,"Médio valor","Baixo valor"))</f>
        <v>Médio valor</v>
      </c>
      <c r="K218" s="0" t="str">
        <f aca="false">CONCATENATE(B218,E218)</f>
        <v>AJ2025-05</v>
      </c>
      <c r="L218" s="1"/>
    </row>
    <row r="219" customFormat="false" ht="14.25" hidden="false" customHeight="false" outlineLevel="0" collapsed="false">
      <c r="B219" s="1" t="s">
        <v>51</v>
      </c>
      <c r="C219" s="1" t="str">
        <f aca="false">VLOOKUP(B219,Tabela4[],2,FALSE())</f>
        <v>Pequena</v>
      </c>
      <c r="D219" s="5" t="str">
        <f aca="false">VLOOKUP(B219,Tabela4[],3,FALSE())</f>
        <v>Rio Grande do Sul</v>
      </c>
      <c r="E219" s="2" t="s">
        <v>10</v>
      </c>
      <c r="F219" s="6" t="n">
        <f aca="false">VLOOKUP($K219,'FATURAMENTO '!$A$2:$E$302,4,FALSE())</f>
        <v>34278</v>
      </c>
      <c r="G219" s="6" t="n">
        <f aca="false">VLOOKUP($K219,'FATURAMENTO '!$A$2:$E$302,5,FALSE())</f>
        <v>26604.97</v>
      </c>
      <c r="H219" s="1" t="str">
        <f aca="false">VLOOKUP($K219,CHURN!$A$2:$E$302,4,FALSE())</f>
        <v>Ativo</v>
      </c>
      <c r="I219" s="7" t="n">
        <f aca="false">(F219-G219)/F219</f>
        <v>0.223847073924966</v>
      </c>
      <c r="J219" s="1" t="str">
        <f aca="false">IF(INDEX($I$3:$I$302,MATCH(B219,$B$3:$B$302,0))&gt;50%,"Alto valor",IF(INDEX($I$3:$I$302,MATCH(B219,$B$3:$B$302,0))&gt;=30%,"Médio valor","Baixo valor"))</f>
        <v>Baixo valor</v>
      </c>
      <c r="K219" s="0" t="str">
        <f aca="false">CONCATENATE(B219,E219)</f>
        <v>AK2024-12</v>
      </c>
      <c r="L219" s="1"/>
    </row>
    <row r="220" customFormat="false" ht="14.25" hidden="false" customHeight="false" outlineLevel="0" collapsed="false">
      <c r="B220" s="1" t="s">
        <v>51</v>
      </c>
      <c r="C220" s="1" t="str">
        <f aca="false">VLOOKUP(B220,Tabela4[],2,FALSE())</f>
        <v>Pequena</v>
      </c>
      <c r="D220" s="5" t="str">
        <f aca="false">VLOOKUP(B220,Tabela4[],3,FALSE())</f>
        <v>Rio Grande do Sul</v>
      </c>
      <c r="E220" s="2" t="s">
        <v>11</v>
      </c>
      <c r="F220" s="6" t="n">
        <f aca="false">VLOOKUP($K220,'FATURAMENTO '!$A$2:$E$302,4,FALSE())</f>
        <v>9274</v>
      </c>
      <c r="G220" s="6" t="n">
        <f aca="false">VLOOKUP($K220,'FATURAMENTO '!$A$2:$E$302,5,FALSE())</f>
        <v>6476.54</v>
      </c>
      <c r="H220" s="1" t="str">
        <f aca="false">VLOOKUP($K220,CHURN!$A$2:$E$302,4,FALSE())</f>
        <v>Ativo</v>
      </c>
      <c r="I220" s="7" t="n">
        <f aca="false">(F220-G220)/F220</f>
        <v>0.301645460427</v>
      </c>
      <c r="J220" s="1" t="str">
        <f aca="false">IF(INDEX($I$3:$I$302,MATCH(B220,$B$3:$B$302,0))&gt;50%,"Alto valor",IF(INDEX($I$3:$I$302,MATCH(B220,$B$3:$B$302,0))&gt;=30%,"Médio valor","Baixo valor"))</f>
        <v>Baixo valor</v>
      </c>
      <c r="K220" s="0" t="str">
        <f aca="false">CONCATENATE(B220,E220)</f>
        <v>AK2025-01</v>
      </c>
      <c r="L220" s="1"/>
    </row>
    <row r="221" customFormat="false" ht="14.25" hidden="false" customHeight="false" outlineLevel="0" collapsed="false">
      <c r="B221" s="1" t="s">
        <v>51</v>
      </c>
      <c r="C221" s="1" t="str">
        <f aca="false">VLOOKUP(B221,Tabela4[],2,FALSE())</f>
        <v>Pequena</v>
      </c>
      <c r="D221" s="5" t="str">
        <f aca="false">VLOOKUP(B221,Tabela4[],3,FALSE())</f>
        <v>Rio Grande do Sul</v>
      </c>
      <c r="E221" s="2" t="s">
        <v>12</v>
      </c>
      <c r="F221" s="6" t="n">
        <f aca="false">VLOOKUP($K221,'FATURAMENTO '!$A$2:$E$302,4,FALSE())</f>
        <v>25990</v>
      </c>
      <c r="G221" s="6" t="n">
        <f aca="false">VLOOKUP($K221,'FATURAMENTO '!$A$2:$E$302,5,FALSE())</f>
        <v>18117.98</v>
      </c>
      <c r="H221" s="1" t="str">
        <f aca="false">VLOOKUP($K221,CHURN!$A$2:$E$302,4,FALSE())</f>
        <v>Ativo</v>
      </c>
      <c r="I221" s="7" t="n">
        <f aca="false">(F221-G221)/F221</f>
        <v>0.302886494805695</v>
      </c>
      <c r="J221" s="1" t="str">
        <f aca="false">IF(INDEX($I$3:$I$302,MATCH(B221,$B$3:$B$302,0))&gt;50%,"Alto valor",IF(INDEX($I$3:$I$302,MATCH(B221,$B$3:$B$302,0))&gt;=30%,"Médio valor","Baixo valor"))</f>
        <v>Baixo valor</v>
      </c>
      <c r="K221" s="0" t="str">
        <f aca="false">CONCATENATE(B221,E221)</f>
        <v>AK2025-02</v>
      </c>
      <c r="L221" s="1"/>
    </row>
    <row r="222" customFormat="false" ht="14.25" hidden="false" customHeight="false" outlineLevel="0" collapsed="false">
      <c r="B222" s="1" t="s">
        <v>51</v>
      </c>
      <c r="C222" s="1" t="str">
        <f aca="false">VLOOKUP(B222,Tabela4[],2,FALSE())</f>
        <v>Pequena</v>
      </c>
      <c r="D222" s="5" t="str">
        <f aca="false">VLOOKUP(B222,Tabela4[],3,FALSE())</f>
        <v>Rio Grande do Sul</v>
      </c>
      <c r="E222" s="2" t="s">
        <v>13</v>
      </c>
      <c r="F222" s="6" t="n">
        <f aca="false">VLOOKUP($K222,'FATURAMENTO '!$A$2:$E$302,4,FALSE())</f>
        <v>22422</v>
      </c>
      <c r="G222" s="6" t="n">
        <f aca="false">VLOOKUP($K222,'FATURAMENTO '!$A$2:$E$302,5,FALSE())</f>
        <v>15188.46</v>
      </c>
      <c r="H222" s="1" t="str">
        <f aca="false">VLOOKUP($K222,CHURN!$A$2:$E$302,4,FALSE())</f>
        <v>Cancelado</v>
      </c>
      <c r="I222" s="7" t="n">
        <f aca="false">(F222-G222)/F222</f>
        <v>0.322609044688253</v>
      </c>
      <c r="J222" s="1" t="str">
        <f aca="false">IF(INDEX($I$3:$I$302,MATCH(B222,$B$3:$B$302,0))&gt;50%,"Alto valor",IF(INDEX($I$3:$I$302,MATCH(B222,$B$3:$B$302,0))&gt;=30%,"Médio valor","Baixo valor"))</f>
        <v>Baixo valor</v>
      </c>
      <c r="K222" s="0" t="str">
        <f aca="false">CONCATENATE(B222,E222)</f>
        <v>AK2025-03</v>
      </c>
      <c r="L222" s="1"/>
    </row>
    <row r="223" customFormat="false" ht="14.25" hidden="false" customHeight="false" outlineLevel="0" collapsed="false">
      <c r="B223" s="1" t="s">
        <v>51</v>
      </c>
      <c r="C223" s="1" t="str">
        <f aca="false">VLOOKUP(B223,Tabela4[],2,FALSE())</f>
        <v>Pequena</v>
      </c>
      <c r="D223" s="5" t="str">
        <f aca="false">VLOOKUP(B223,Tabela4[],3,FALSE())</f>
        <v>Rio Grande do Sul</v>
      </c>
      <c r="E223" s="2" t="s">
        <v>14</v>
      </c>
      <c r="F223" s="6" t="n">
        <f aca="false">VLOOKUP($K223,'FATURAMENTO '!$A$2:$E$302,4,FALSE())</f>
        <v>49124</v>
      </c>
      <c r="G223" s="6" t="n">
        <f aca="false">VLOOKUP($K223,'FATURAMENTO '!$A$2:$E$302,5,FALSE())</f>
        <v>33639.35</v>
      </c>
      <c r="H223" s="1" t="str">
        <f aca="false">VLOOKUP($K223,CHURN!$A$2:$E$302,4,FALSE())</f>
        <v>Cancelado</v>
      </c>
      <c r="I223" s="7" t="n">
        <f aca="false">(F223-G223)/F223</f>
        <v>0.315215576907418</v>
      </c>
      <c r="J223" s="1" t="str">
        <f aca="false">IF(INDEX($I$3:$I$302,MATCH(B223,$B$3:$B$302,0))&gt;50%,"Alto valor",IF(INDEX($I$3:$I$302,MATCH(B223,$B$3:$B$302,0))&gt;=30%,"Médio valor","Baixo valor"))</f>
        <v>Baixo valor</v>
      </c>
      <c r="K223" s="0" t="str">
        <f aca="false">CONCATENATE(B223,E223)</f>
        <v>AK2025-04</v>
      </c>
      <c r="L223" s="1"/>
    </row>
    <row r="224" customFormat="false" ht="14.25" hidden="false" customHeight="false" outlineLevel="0" collapsed="false">
      <c r="B224" s="1" t="s">
        <v>51</v>
      </c>
      <c r="C224" s="1" t="str">
        <f aca="false">VLOOKUP(B224,Tabela4[],2,FALSE())</f>
        <v>Pequena</v>
      </c>
      <c r="D224" s="5" t="str">
        <f aca="false">VLOOKUP(B224,Tabela4[],3,FALSE())</f>
        <v>Rio Grande do Sul</v>
      </c>
      <c r="E224" s="2" t="s">
        <v>15</v>
      </c>
      <c r="F224" s="6" t="n">
        <f aca="false">VLOOKUP($K224,'FATURAMENTO '!$A$2:$E$302,4,FALSE())</f>
        <v>34747</v>
      </c>
      <c r="G224" s="6" t="n">
        <f aca="false">VLOOKUP($K224,'FATURAMENTO '!$A$2:$E$302,5,FALSE())</f>
        <v>18622.79</v>
      </c>
      <c r="H224" s="1" t="str">
        <f aca="false">VLOOKUP($K224,CHURN!$A$2:$E$302,4,FALSE())</f>
        <v>Ativo</v>
      </c>
      <c r="I224" s="7" t="n">
        <f aca="false">(F224-G224)/F224</f>
        <v>0.464046104699686</v>
      </c>
      <c r="J224" s="1" t="str">
        <f aca="false">IF(INDEX($I$3:$I$302,MATCH(B224,$B$3:$B$302,0))&gt;50%,"Alto valor",IF(INDEX($I$3:$I$302,MATCH(B224,$B$3:$B$302,0))&gt;=30%,"Médio valor","Baixo valor"))</f>
        <v>Baixo valor</v>
      </c>
      <c r="K224" s="0" t="str">
        <f aca="false">CONCATENATE(B224,E224)</f>
        <v>AK2025-05</v>
      </c>
      <c r="L224" s="1"/>
    </row>
    <row r="225" customFormat="false" ht="14.25" hidden="false" customHeight="false" outlineLevel="0" collapsed="false">
      <c r="B225" s="1" t="s">
        <v>52</v>
      </c>
      <c r="C225" s="1" t="str">
        <f aca="false">VLOOKUP(B225,Tabela4[],2,FALSE())</f>
        <v>Grande</v>
      </c>
      <c r="D225" s="5" t="str">
        <f aca="false">VLOOKUP(B225,Tabela4[],3,FALSE())</f>
        <v>Minas Gerais</v>
      </c>
      <c r="E225" s="2" t="s">
        <v>10</v>
      </c>
      <c r="F225" s="6" t="n">
        <f aca="false">VLOOKUP($K225,'FATURAMENTO '!$A$2:$E$302,4,FALSE())</f>
        <v>37824</v>
      </c>
      <c r="G225" s="6" t="n">
        <f aca="false">VLOOKUP($K225,'FATURAMENTO '!$A$2:$E$302,5,FALSE())</f>
        <v>19545.88</v>
      </c>
      <c r="H225" s="1" t="str">
        <f aca="false">VLOOKUP($K225,CHURN!$A$2:$E$302,4,FALSE())</f>
        <v>Ativo</v>
      </c>
      <c r="I225" s="7" t="n">
        <f aca="false">(F225-G225)/F225</f>
        <v>0.483241328257191</v>
      </c>
      <c r="J225" s="1" t="str">
        <f aca="false">IF(INDEX($I$3:$I$302,MATCH(B225,$B$3:$B$302,0))&gt;50%,"Alto valor",IF(INDEX($I$3:$I$302,MATCH(B225,$B$3:$B$302,0))&gt;=30%,"Médio valor","Baixo valor"))</f>
        <v>Médio valor</v>
      </c>
      <c r="K225" s="0" t="str">
        <f aca="false">CONCATENATE(B225,E225)</f>
        <v>AL2024-12</v>
      </c>
      <c r="L225" s="1"/>
    </row>
    <row r="226" customFormat="false" ht="14.25" hidden="false" customHeight="false" outlineLevel="0" collapsed="false">
      <c r="B226" s="1" t="s">
        <v>52</v>
      </c>
      <c r="C226" s="1" t="str">
        <f aca="false">VLOOKUP(B226,Tabela4[],2,FALSE())</f>
        <v>Grande</v>
      </c>
      <c r="D226" s="5" t="str">
        <f aca="false">VLOOKUP(B226,Tabela4[],3,FALSE())</f>
        <v>Minas Gerais</v>
      </c>
      <c r="E226" s="2" t="s">
        <v>11</v>
      </c>
      <c r="F226" s="6" t="n">
        <f aca="false">VLOOKUP($K226,'FATURAMENTO '!$A$2:$E$302,4,FALSE())</f>
        <v>33725</v>
      </c>
      <c r="G226" s="6" t="n">
        <f aca="false">VLOOKUP($K226,'FATURAMENTO '!$A$2:$E$302,5,FALSE())</f>
        <v>22500.58</v>
      </c>
      <c r="H226" s="1" t="str">
        <f aca="false">VLOOKUP($K226,CHURN!$A$2:$E$302,4,FALSE())</f>
        <v>Ativo</v>
      </c>
      <c r="I226" s="7" t="n">
        <f aca="false">(F226-G226)/F226</f>
        <v>0.332821942179392</v>
      </c>
      <c r="J226" s="1" t="str">
        <f aca="false">IF(INDEX($I$3:$I$302,MATCH(B226,$B$3:$B$302,0))&gt;50%,"Alto valor",IF(INDEX($I$3:$I$302,MATCH(B226,$B$3:$B$302,0))&gt;=30%,"Médio valor","Baixo valor"))</f>
        <v>Médio valor</v>
      </c>
      <c r="K226" s="0" t="str">
        <f aca="false">CONCATENATE(B226,E226)</f>
        <v>AL2025-01</v>
      </c>
      <c r="L226" s="1"/>
    </row>
    <row r="227" customFormat="false" ht="14.25" hidden="false" customHeight="false" outlineLevel="0" collapsed="false">
      <c r="B227" s="1" t="s">
        <v>52</v>
      </c>
      <c r="C227" s="1" t="str">
        <f aca="false">VLOOKUP(B227,Tabela4[],2,FALSE())</f>
        <v>Grande</v>
      </c>
      <c r="D227" s="5" t="str">
        <f aca="false">VLOOKUP(B227,Tabela4[],3,FALSE())</f>
        <v>Minas Gerais</v>
      </c>
      <c r="E227" s="2" t="s">
        <v>12</v>
      </c>
      <c r="F227" s="6" t="n">
        <f aca="false">VLOOKUP($K227,'FATURAMENTO '!$A$2:$E$302,4,FALSE())</f>
        <v>47708</v>
      </c>
      <c r="G227" s="6" t="n">
        <f aca="false">VLOOKUP($K227,'FATURAMENTO '!$A$2:$E$302,5,FALSE())</f>
        <v>33859.77</v>
      </c>
      <c r="H227" s="1" t="str">
        <f aca="false">VLOOKUP($K227,CHURN!$A$2:$E$302,4,FALSE())</f>
        <v>Ativo</v>
      </c>
      <c r="I227" s="7" t="n">
        <f aca="false">(F227-G227)/F227</f>
        <v>0.290270604510774</v>
      </c>
      <c r="J227" s="1" t="str">
        <f aca="false">IF(INDEX($I$3:$I$302,MATCH(B227,$B$3:$B$302,0))&gt;50%,"Alto valor",IF(INDEX($I$3:$I$302,MATCH(B227,$B$3:$B$302,0))&gt;=30%,"Médio valor","Baixo valor"))</f>
        <v>Médio valor</v>
      </c>
      <c r="K227" s="0" t="str">
        <f aca="false">CONCATENATE(B227,E227)</f>
        <v>AL2025-02</v>
      </c>
      <c r="L227" s="1"/>
    </row>
    <row r="228" customFormat="false" ht="14.25" hidden="false" customHeight="false" outlineLevel="0" collapsed="false">
      <c r="B228" s="1" t="s">
        <v>52</v>
      </c>
      <c r="C228" s="1" t="str">
        <f aca="false">VLOOKUP(B228,Tabela4[],2,FALSE())</f>
        <v>Grande</v>
      </c>
      <c r="D228" s="5" t="str">
        <f aca="false">VLOOKUP(B228,Tabela4[],3,FALSE())</f>
        <v>Minas Gerais</v>
      </c>
      <c r="E228" s="2" t="s">
        <v>13</v>
      </c>
      <c r="F228" s="6" t="n">
        <f aca="false">VLOOKUP($K228,'FATURAMENTO '!$A$2:$E$302,4,FALSE())</f>
        <v>41937</v>
      </c>
      <c r="G228" s="6" t="n">
        <f aca="false">VLOOKUP($K228,'FATURAMENTO '!$A$2:$E$302,5,FALSE())</f>
        <v>30594.46</v>
      </c>
      <c r="H228" s="1" t="str">
        <f aca="false">VLOOKUP($K228,CHURN!$A$2:$E$302,4,FALSE())</f>
        <v>Ativo</v>
      </c>
      <c r="I228" s="7" t="n">
        <f aca="false">(F228-G228)/F228</f>
        <v>0.270466175453657</v>
      </c>
      <c r="J228" s="1" t="str">
        <f aca="false">IF(INDEX($I$3:$I$302,MATCH(B228,$B$3:$B$302,0))&gt;50%,"Alto valor",IF(INDEX($I$3:$I$302,MATCH(B228,$B$3:$B$302,0))&gt;=30%,"Médio valor","Baixo valor"))</f>
        <v>Médio valor</v>
      </c>
      <c r="K228" s="0" t="str">
        <f aca="false">CONCATENATE(B228,E228)</f>
        <v>AL2025-03</v>
      </c>
      <c r="L228" s="1"/>
    </row>
    <row r="229" customFormat="false" ht="14.25" hidden="false" customHeight="false" outlineLevel="0" collapsed="false">
      <c r="B229" s="1" t="s">
        <v>52</v>
      </c>
      <c r="C229" s="1" t="str">
        <f aca="false">VLOOKUP(B229,Tabela4[],2,FALSE())</f>
        <v>Grande</v>
      </c>
      <c r="D229" s="5" t="str">
        <f aca="false">VLOOKUP(B229,Tabela4[],3,FALSE())</f>
        <v>Minas Gerais</v>
      </c>
      <c r="E229" s="2" t="s">
        <v>14</v>
      </c>
      <c r="F229" s="6" t="n">
        <f aca="false">VLOOKUP($K229,'FATURAMENTO '!$A$2:$E$302,4,FALSE())</f>
        <v>4864</v>
      </c>
      <c r="G229" s="6" t="n">
        <f aca="false">VLOOKUP($K229,'FATURAMENTO '!$A$2:$E$302,5,FALSE())</f>
        <v>2457.63</v>
      </c>
      <c r="H229" s="1" t="str">
        <f aca="false">VLOOKUP($K229,CHURN!$A$2:$E$302,4,FALSE())</f>
        <v>Ativo</v>
      </c>
      <c r="I229" s="7" t="n">
        <f aca="false">(F229-G229)/F229</f>
        <v>0.494730674342105</v>
      </c>
      <c r="J229" s="1" t="str">
        <f aca="false">IF(INDEX($I$3:$I$302,MATCH(B229,$B$3:$B$302,0))&gt;50%,"Alto valor",IF(INDEX($I$3:$I$302,MATCH(B229,$B$3:$B$302,0))&gt;=30%,"Médio valor","Baixo valor"))</f>
        <v>Médio valor</v>
      </c>
      <c r="K229" s="0" t="str">
        <f aca="false">CONCATENATE(B229,E229)</f>
        <v>AL2025-04</v>
      </c>
      <c r="L229" s="1"/>
    </row>
    <row r="230" customFormat="false" ht="14.25" hidden="false" customHeight="false" outlineLevel="0" collapsed="false">
      <c r="B230" s="1" t="s">
        <v>52</v>
      </c>
      <c r="C230" s="1" t="str">
        <f aca="false">VLOOKUP(B230,Tabela4[],2,FALSE())</f>
        <v>Grande</v>
      </c>
      <c r="D230" s="5" t="str">
        <f aca="false">VLOOKUP(B230,Tabela4[],3,FALSE())</f>
        <v>Minas Gerais</v>
      </c>
      <c r="E230" s="2" t="s">
        <v>15</v>
      </c>
      <c r="F230" s="6" t="n">
        <f aca="false">VLOOKUP($K230,'FATURAMENTO '!$A$2:$E$302,4,FALSE())</f>
        <v>9238</v>
      </c>
      <c r="G230" s="6" t="n">
        <f aca="false">VLOOKUP($K230,'FATURAMENTO '!$A$2:$E$302,5,FALSE())</f>
        <v>6623.4</v>
      </c>
      <c r="H230" s="1" t="str">
        <f aca="false">VLOOKUP($K230,CHURN!$A$2:$E$302,4,FALSE())</f>
        <v>Ativo</v>
      </c>
      <c r="I230" s="7" t="n">
        <f aca="false">(F230-G230)/F230</f>
        <v>0.283026629140507</v>
      </c>
      <c r="J230" s="1" t="str">
        <f aca="false">IF(INDEX($I$3:$I$302,MATCH(B230,$B$3:$B$302,0))&gt;50%,"Alto valor",IF(INDEX($I$3:$I$302,MATCH(B230,$B$3:$B$302,0))&gt;=30%,"Médio valor","Baixo valor"))</f>
        <v>Médio valor</v>
      </c>
      <c r="K230" s="0" t="str">
        <f aca="false">CONCATENATE(B230,E230)</f>
        <v>AL2025-05</v>
      </c>
      <c r="L230" s="1"/>
    </row>
    <row r="231" customFormat="false" ht="14.25" hidden="false" customHeight="false" outlineLevel="0" collapsed="false">
      <c r="B231" s="1" t="s">
        <v>53</v>
      </c>
      <c r="C231" s="1" t="str">
        <f aca="false">VLOOKUP(B231,Tabela4[],2,FALSE())</f>
        <v>Pequena</v>
      </c>
      <c r="D231" s="5" t="str">
        <f aca="false">VLOOKUP(B231,Tabela4[],3,FALSE())</f>
        <v>Distrito Federal</v>
      </c>
      <c r="E231" s="2" t="s">
        <v>10</v>
      </c>
      <c r="F231" s="6" t="n">
        <f aca="false">VLOOKUP($K231,'FATURAMENTO '!$A$2:$E$302,4,FALSE())</f>
        <v>44774</v>
      </c>
      <c r="G231" s="6" t="n">
        <f aca="false">VLOOKUP($K231,'FATURAMENTO '!$A$2:$E$302,5,FALSE())</f>
        <v>28511.23</v>
      </c>
      <c r="H231" s="1" t="str">
        <f aca="false">VLOOKUP($K231,CHURN!$A$2:$E$302,4,FALSE())</f>
        <v>Ativo</v>
      </c>
      <c r="I231" s="7" t="n">
        <f aca="false">(F231-G231)/F231</f>
        <v>0.36321905570197</v>
      </c>
      <c r="J231" s="1" t="str">
        <f aca="false">IF(INDEX($I$3:$I$302,MATCH(B231,$B$3:$B$302,0))&gt;50%,"Alto valor",IF(INDEX($I$3:$I$302,MATCH(B231,$B$3:$B$302,0))&gt;=30%,"Médio valor","Baixo valor"))</f>
        <v>Médio valor</v>
      </c>
      <c r="K231" s="0" t="str">
        <f aca="false">CONCATENATE(B231,E231)</f>
        <v>AM2024-12</v>
      </c>
      <c r="L231" s="1"/>
    </row>
    <row r="232" customFormat="false" ht="14.25" hidden="false" customHeight="false" outlineLevel="0" collapsed="false">
      <c r="B232" s="1" t="s">
        <v>53</v>
      </c>
      <c r="C232" s="1" t="str">
        <f aca="false">VLOOKUP(B232,Tabela4[],2,FALSE())</f>
        <v>Pequena</v>
      </c>
      <c r="D232" s="5" t="str">
        <f aca="false">VLOOKUP(B232,Tabela4[],3,FALSE())</f>
        <v>Distrito Federal</v>
      </c>
      <c r="E232" s="2" t="s">
        <v>11</v>
      </c>
      <c r="F232" s="6" t="n">
        <f aca="false">VLOOKUP($K232,'FATURAMENTO '!$A$2:$E$302,4,FALSE())</f>
        <v>46815</v>
      </c>
      <c r="G232" s="6" t="n">
        <f aca="false">VLOOKUP($K232,'FATURAMENTO '!$A$2:$E$302,5,FALSE())</f>
        <v>24877.21</v>
      </c>
      <c r="H232" s="1" t="str">
        <f aca="false">VLOOKUP($K232,CHURN!$A$2:$E$302,4,FALSE())</f>
        <v>Ativo</v>
      </c>
      <c r="I232" s="7" t="n">
        <f aca="false">(F232-G232)/F232</f>
        <v>0.468606002349674</v>
      </c>
      <c r="J232" s="1" t="str">
        <f aca="false">IF(INDEX($I$3:$I$302,MATCH(B232,$B$3:$B$302,0))&gt;50%,"Alto valor",IF(INDEX($I$3:$I$302,MATCH(B232,$B$3:$B$302,0))&gt;=30%,"Médio valor","Baixo valor"))</f>
        <v>Médio valor</v>
      </c>
      <c r="K232" s="0" t="str">
        <f aca="false">CONCATENATE(B232,E232)</f>
        <v>AM2025-01</v>
      </c>
      <c r="L232" s="1"/>
    </row>
    <row r="233" customFormat="false" ht="14.25" hidden="false" customHeight="false" outlineLevel="0" collapsed="false">
      <c r="B233" s="1" t="s">
        <v>53</v>
      </c>
      <c r="C233" s="1" t="str">
        <f aca="false">VLOOKUP(B233,Tabela4[],2,FALSE())</f>
        <v>Pequena</v>
      </c>
      <c r="D233" s="5" t="str">
        <f aca="false">VLOOKUP(B233,Tabela4[],3,FALSE())</f>
        <v>Distrito Federal</v>
      </c>
      <c r="E233" s="2" t="s">
        <v>12</v>
      </c>
      <c r="F233" s="6" t="n">
        <f aca="false">VLOOKUP($K233,'FATURAMENTO '!$A$2:$E$302,4,FALSE())</f>
        <v>10474</v>
      </c>
      <c r="G233" s="6" t="n">
        <f aca="false">VLOOKUP($K233,'FATURAMENTO '!$A$2:$E$302,5,FALSE())</f>
        <v>8095.69</v>
      </c>
      <c r="H233" s="1" t="str">
        <f aca="false">VLOOKUP($K233,CHURN!$A$2:$E$302,4,FALSE())</f>
        <v>Ativo</v>
      </c>
      <c r="I233" s="7" t="n">
        <f aca="false">(F233-G233)/F233</f>
        <v>0.227067977849914</v>
      </c>
      <c r="J233" s="1" t="str">
        <f aca="false">IF(INDEX($I$3:$I$302,MATCH(B233,$B$3:$B$302,0))&gt;50%,"Alto valor",IF(INDEX($I$3:$I$302,MATCH(B233,$B$3:$B$302,0))&gt;=30%,"Médio valor","Baixo valor"))</f>
        <v>Médio valor</v>
      </c>
      <c r="K233" s="0" t="str">
        <f aca="false">CONCATENATE(B233,E233)</f>
        <v>AM2025-02</v>
      </c>
      <c r="L233" s="1"/>
    </row>
    <row r="234" customFormat="false" ht="14.25" hidden="false" customHeight="false" outlineLevel="0" collapsed="false">
      <c r="B234" s="1" t="s">
        <v>53</v>
      </c>
      <c r="C234" s="1" t="str">
        <f aca="false">VLOOKUP(B234,Tabela4[],2,FALSE())</f>
        <v>Pequena</v>
      </c>
      <c r="D234" s="5" t="str">
        <f aca="false">VLOOKUP(B234,Tabela4[],3,FALSE())</f>
        <v>Distrito Federal</v>
      </c>
      <c r="E234" s="2" t="s">
        <v>13</v>
      </c>
      <c r="F234" s="6" t="n">
        <f aca="false">VLOOKUP($K234,'FATURAMENTO '!$A$2:$E$302,4,FALSE())</f>
        <v>11251</v>
      </c>
      <c r="G234" s="6" t="n">
        <f aca="false">VLOOKUP($K234,'FATURAMENTO '!$A$2:$E$302,5,FALSE())</f>
        <v>7980.88</v>
      </c>
      <c r="H234" s="1" t="str">
        <f aca="false">VLOOKUP($K234,CHURN!$A$2:$E$302,4,FALSE())</f>
        <v>Ativo</v>
      </c>
      <c r="I234" s="7" t="n">
        <f aca="false">(F234-G234)/F234</f>
        <v>0.290651497644654</v>
      </c>
      <c r="J234" s="1" t="str">
        <f aca="false">IF(INDEX($I$3:$I$302,MATCH(B234,$B$3:$B$302,0))&gt;50%,"Alto valor",IF(INDEX($I$3:$I$302,MATCH(B234,$B$3:$B$302,0))&gt;=30%,"Médio valor","Baixo valor"))</f>
        <v>Médio valor</v>
      </c>
      <c r="K234" s="0" t="str">
        <f aca="false">CONCATENATE(B234,E234)</f>
        <v>AM2025-03</v>
      </c>
      <c r="L234" s="1"/>
    </row>
    <row r="235" customFormat="false" ht="14.25" hidden="false" customHeight="false" outlineLevel="0" collapsed="false">
      <c r="B235" s="1" t="s">
        <v>53</v>
      </c>
      <c r="C235" s="1" t="str">
        <f aca="false">VLOOKUP(B235,Tabela4[],2,FALSE())</f>
        <v>Pequena</v>
      </c>
      <c r="D235" s="5" t="str">
        <f aca="false">VLOOKUP(B235,Tabela4[],3,FALSE())</f>
        <v>Distrito Federal</v>
      </c>
      <c r="E235" s="2" t="s">
        <v>14</v>
      </c>
      <c r="F235" s="6" t="n">
        <f aca="false">VLOOKUP($K235,'FATURAMENTO '!$A$2:$E$302,4,FALSE())</f>
        <v>37443</v>
      </c>
      <c r="G235" s="6" t="n">
        <f aca="false">VLOOKUP($K235,'FATURAMENTO '!$A$2:$E$302,5,FALSE())</f>
        <v>29053.23</v>
      </c>
      <c r="H235" s="1" t="str">
        <f aca="false">VLOOKUP($K235,CHURN!$A$2:$E$302,4,FALSE())</f>
        <v>Ativo</v>
      </c>
      <c r="I235" s="7" t="n">
        <f aca="false">(F235-G235)/F235</f>
        <v>0.224067783030206</v>
      </c>
      <c r="J235" s="1" t="str">
        <f aca="false">IF(INDEX($I$3:$I$302,MATCH(B235,$B$3:$B$302,0))&gt;50%,"Alto valor",IF(INDEX($I$3:$I$302,MATCH(B235,$B$3:$B$302,0))&gt;=30%,"Médio valor","Baixo valor"))</f>
        <v>Médio valor</v>
      </c>
      <c r="K235" s="0" t="str">
        <f aca="false">CONCATENATE(B235,E235)</f>
        <v>AM2025-04</v>
      </c>
      <c r="L235" s="1"/>
    </row>
    <row r="236" customFormat="false" ht="14.25" hidden="false" customHeight="false" outlineLevel="0" collapsed="false">
      <c r="B236" s="1" t="s">
        <v>53</v>
      </c>
      <c r="C236" s="1" t="str">
        <f aca="false">VLOOKUP(B236,Tabela4[],2,FALSE())</f>
        <v>Pequena</v>
      </c>
      <c r="D236" s="5" t="str">
        <f aca="false">VLOOKUP(B236,Tabela4[],3,FALSE())</f>
        <v>Distrito Federal</v>
      </c>
      <c r="E236" s="2" t="s">
        <v>15</v>
      </c>
      <c r="F236" s="6" t="n">
        <f aca="false">VLOOKUP($K236,'FATURAMENTO '!$A$2:$E$302,4,FALSE())</f>
        <v>35749</v>
      </c>
      <c r="G236" s="6" t="n">
        <f aca="false">VLOOKUP($K236,'FATURAMENTO '!$A$2:$E$302,5,FALSE())</f>
        <v>25853.93</v>
      </c>
      <c r="H236" s="1" t="str">
        <f aca="false">VLOOKUP($K236,CHURN!$A$2:$E$302,4,FALSE())</f>
        <v>Ativo</v>
      </c>
      <c r="I236" s="7" t="n">
        <f aca="false">(F236-G236)/F236</f>
        <v>0.2767929172844</v>
      </c>
      <c r="J236" s="1" t="str">
        <f aca="false">IF(INDEX($I$3:$I$302,MATCH(B236,$B$3:$B$302,0))&gt;50%,"Alto valor",IF(INDEX($I$3:$I$302,MATCH(B236,$B$3:$B$302,0))&gt;=30%,"Médio valor","Baixo valor"))</f>
        <v>Médio valor</v>
      </c>
      <c r="K236" s="0" t="str">
        <f aca="false">CONCATENATE(B236,E236)</f>
        <v>AM2025-05</v>
      </c>
      <c r="L236" s="1"/>
    </row>
    <row r="237" customFormat="false" ht="14.25" hidden="false" customHeight="false" outlineLevel="0" collapsed="false">
      <c r="B237" s="1" t="s">
        <v>54</v>
      </c>
      <c r="C237" s="1" t="str">
        <f aca="false">VLOOKUP(B237,Tabela4[],2,FALSE())</f>
        <v>Média</v>
      </c>
      <c r="D237" s="5" t="str">
        <f aca="false">VLOOKUP(B237,Tabela4[],3,FALSE())</f>
        <v>Paraná</v>
      </c>
      <c r="E237" s="2" t="s">
        <v>10</v>
      </c>
      <c r="F237" s="6" t="n">
        <f aca="false">VLOOKUP($K237,'FATURAMENTO '!$A$2:$E$302,4,FALSE())</f>
        <v>40023</v>
      </c>
      <c r="G237" s="6" t="n">
        <f aca="false">VLOOKUP($K237,'FATURAMENTO '!$A$2:$E$302,5,FALSE())</f>
        <v>28343.45</v>
      </c>
      <c r="H237" s="1" t="str">
        <f aca="false">VLOOKUP($K237,CHURN!$A$2:$E$302,4,FALSE())</f>
        <v>Ativo</v>
      </c>
      <c r="I237" s="7" t="n">
        <f aca="false">(F237-G237)/F237</f>
        <v>0.291820952952053</v>
      </c>
      <c r="J237" s="1" t="str">
        <f aca="false">IF(INDEX($I$3:$I$302,MATCH(B237,$B$3:$B$302,0))&gt;50%,"Alto valor",IF(INDEX($I$3:$I$302,MATCH(B237,$B$3:$B$302,0))&gt;=30%,"Médio valor","Baixo valor"))</f>
        <v>Baixo valor</v>
      </c>
      <c r="K237" s="0" t="str">
        <f aca="false">CONCATENATE(B237,E237)</f>
        <v>AN2024-12</v>
      </c>
      <c r="L237" s="1"/>
    </row>
    <row r="238" customFormat="false" ht="14.25" hidden="false" customHeight="false" outlineLevel="0" collapsed="false">
      <c r="B238" s="1" t="s">
        <v>54</v>
      </c>
      <c r="C238" s="1" t="str">
        <f aca="false">VLOOKUP(B238,Tabela4[],2,FALSE())</f>
        <v>Média</v>
      </c>
      <c r="D238" s="5" t="str">
        <f aca="false">VLOOKUP(B238,Tabela4[],3,FALSE())</f>
        <v>Paraná</v>
      </c>
      <c r="E238" s="2" t="s">
        <v>11</v>
      </c>
      <c r="F238" s="6" t="n">
        <f aca="false">VLOOKUP($K238,'FATURAMENTO '!$A$2:$E$302,4,FALSE())</f>
        <v>11144</v>
      </c>
      <c r="G238" s="6" t="n">
        <f aca="false">VLOOKUP($K238,'FATURAMENTO '!$A$2:$E$302,5,FALSE())</f>
        <v>7722.01</v>
      </c>
      <c r="H238" s="1" t="str">
        <f aca="false">VLOOKUP($K238,CHURN!$A$2:$E$302,4,FALSE())</f>
        <v>Cancelado</v>
      </c>
      <c r="I238" s="7" t="n">
        <f aca="false">(F238-G238)/F238</f>
        <v>0.307070172290022</v>
      </c>
      <c r="J238" s="1" t="str">
        <f aca="false">IF(INDEX($I$3:$I$302,MATCH(B238,$B$3:$B$302,0))&gt;50%,"Alto valor",IF(INDEX($I$3:$I$302,MATCH(B238,$B$3:$B$302,0))&gt;=30%,"Médio valor","Baixo valor"))</f>
        <v>Baixo valor</v>
      </c>
      <c r="K238" s="0" t="str">
        <f aca="false">CONCATENATE(B238,E238)</f>
        <v>AN2025-01</v>
      </c>
      <c r="L238" s="1"/>
    </row>
    <row r="239" customFormat="false" ht="14.25" hidden="false" customHeight="false" outlineLevel="0" collapsed="false">
      <c r="B239" s="1" t="s">
        <v>54</v>
      </c>
      <c r="C239" s="1" t="str">
        <f aca="false">VLOOKUP(B239,Tabela4[],2,FALSE())</f>
        <v>Média</v>
      </c>
      <c r="D239" s="5" t="str">
        <f aca="false">VLOOKUP(B239,Tabela4[],3,FALSE())</f>
        <v>Paraná</v>
      </c>
      <c r="E239" s="2" t="s">
        <v>12</v>
      </c>
      <c r="F239" s="6" t="n">
        <f aca="false">VLOOKUP($K239,'FATURAMENTO '!$A$2:$E$302,4,FALSE())</f>
        <v>18478</v>
      </c>
      <c r="G239" s="6" t="n">
        <f aca="false">VLOOKUP($K239,'FATURAMENTO '!$A$2:$E$302,5,FALSE())</f>
        <v>13776.58</v>
      </c>
      <c r="H239" s="1" t="str">
        <f aca="false">VLOOKUP($K239,CHURN!$A$2:$E$302,4,FALSE())</f>
        <v>Ativo</v>
      </c>
      <c r="I239" s="7" t="n">
        <f aca="false">(F239-G239)/F239</f>
        <v>0.254433380235956</v>
      </c>
      <c r="J239" s="1" t="str">
        <f aca="false">IF(INDEX($I$3:$I$302,MATCH(B239,$B$3:$B$302,0))&gt;50%,"Alto valor",IF(INDEX($I$3:$I$302,MATCH(B239,$B$3:$B$302,0))&gt;=30%,"Médio valor","Baixo valor"))</f>
        <v>Baixo valor</v>
      </c>
      <c r="K239" s="0" t="str">
        <f aca="false">CONCATENATE(B239,E239)</f>
        <v>AN2025-02</v>
      </c>
      <c r="L239" s="1"/>
    </row>
    <row r="240" customFormat="false" ht="14.25" hidden="false" customHeight="false" outlineLevel="0" collapsed="false">
      <c r="B240" s="1" t="s">
        <v>54</v>
      </c>
      <c r="C240" s="1" t="str">
        <f aca="false">VLOOKUP(B240,Tabela4[],2,FALSE())</f>
        <v>Média</v>
      </c>
      <c r="D240" s="5" t="str">
        <f aca="false">VLOOKUP(B240,Tabela4[],3,FALSE())</f>
        <v>Paraná</v>
      </c>
      <c r="E240" s="2" t="s">
        <v>13</v>
      </c>
      <c r="F240" s="6" t="n">
        <f aca="false">VLOOKUP($K240,'FATURAMENTO '!$A$2:$E$302,4,FALSE())</f>
        <v>2095</v>
      </c>
      <c r="G240" s="6" t="n">
        <f aca="false">VLOOKUP($K240,'FATURAMENTO '!$A$2:$E$302,5,FALSE())</f>
        <v>1658.89</v>
      </c>
      <c r="H240" s="1" t="str">
        <f aca="false">VLOOKUP($K240,CHURN!$A$2:$E$302,4,FALSE())</f>
        <v>Ativo</v>
      </c>
      <c r="I240" s="7" t="n">
        <f aca="false">(F240-G240)/F240</f>
        <v>0.208167064439141</v>
      </c>
      <c r="J240" s="1" t="str">
        <f aca="false">IF(INDEX($I$3:$I$302,MATCH(B240,$B$3:$B$302,0))&gt;50%,"Alto valor",IF(INDEX($I$3:$I$302,MATCH(B240,$B$3:$B$302,0))&gt;=30%,"Médio valor","Baixo valor"))</f>
        <v>Baixo valor</v>
      </c>
      <c r="K240" s="0" t="str">
        <f aca="false">CONCATENATE(B240,E240)</f>
        <v>AN2025-03</v>
      </c>
      <c r="L240" s="1"/>
    </row>
    <row r="241" customFormat="false" ht="14.25" hidden="false" customHeight="false" outlineLevel="0" collapsed="false">
      <c r="B241" s="1" t="s">
        <v>54</v>
      </c>
      <c r="C241" s="1" t="str">
        <f aca="false">VLOOKUP(B241,Tabela4[],2,FALSE())</f>
        <v>Média</v>
      </c>
      <c r="D241" s="5" t="str">
        <f aca="false">VLOOKUP(B241,Tabela4[],3,FALSE())</f>
        <v>Paraná</v>
      </c>
      <c r="E241" s="2" t="s">
        <v>14</v>
      </c>
      <c r="F241" s="6" t="n">
        <f aca="false">VLOOKUP($K241,'FATURAMENTO '!$A$2:$E$302,4,FALSE())</f>
        <v>41794</v>
      </c>
      <c r="G241" s="6" t="n">
        <f aca="false">VLOOKUP($K241,'FATURAMENTO '!$A$2:$E$302,5,FALSE())</f>
        <v>24439.65</v>
      </c>
      <c r="H241" s="1" t="str">
        <f aca="false">VLOOKUP($K241,CHURN!$A$2:$E$302,4,FALSE())</f>
        <v>Ativo</v>
      </c>
      <c r="I241" s="7" t="n">
        <f aca="false">(F241-G241)/F241</f>
        <v>0.415235440493851</v>
      </c>
      <c r="J241" s="1" t="str">
        <f aca="false">IF(INDEX($I$3:$I$302,MATCH(B241,$B$3:$B$302,0))&gt;50%,"Alto valor",IF(INDEX($I$3:$I$302,MATCH(B241,$B$3:$B$302,0))&gt;=30%,"Médio valor","Baixo valor"))</f>
        <v>Baixo valor</v>
      </c>
      <c r="K241" s="0" t="str">
        <f aca="false">CONCATENATE(B241,E241)</f>
        <v>AN2025-04</v>
      </c>
      <c r="L241" s="1"/>
    </row>
    <row r="242" customFormat="false" ht="14.25" hidden="false" customHeight="false" outlineLevel="0" collapsed="false">
      <c r="B242" s="1" t="s">
        <v>54</v>
      </c>
      <c r="C242" s="1" t="str">
        <f aca="false">VLOOKUP(B242,Tabela4[],2,FALSE())</f>
        <v>Média</v>
      </c>
      <c r="D242" s="5" t="str">
        <f aca="false">VLOOKUP(B242,Tabela4[],3,FALSE())</f>
        <v>Paraná</v>
      </c>
      <c r="E242" s="2" t="s">
        <v>15</v>
      </c>
      <c r="F242" s="6" t="n">
        <f aca="false">VLOOKUP($K242,'FATURAMENTO '!$A$2:$E$302,4,FALSE())</f>
        <v>6042</v>
      </c>
      <c r="G242" s="6" t="n">
        <f aca="false">VLOOKUP($K242,'FATURAMENTO '!$A$2:$E$302,5,FALSE())</f>
        <v>4401.71</v>
      </c>
      <c r="H242" s="1" t="str">
        <f aca="false">VLOOKUP($K242,CHURN!$A$2:$E$302,4,FALSE())</f>
        <v>Ativo</v>
      </c>
      <c r="I242" s="7" t="n">
        <f aca="false">(F242-G242)/F242</f>
        <v>0.271481297583582</v>
      </c>
      <c r="J242" s="1" t="str">
        <f aca="false">IF(INDEX($I$3:$I$302,MATCH(B242,$B$3:$B$302,0))&gt;50%,"Alto valor",IF(INDEX($I$3:$I$302,MATCH(B242,$B$3:$B$302,0))&gt;=30%,"Médio valor","Baixo valor"))</f>
        <v>Baixo valor</v>
      </c>
      <c r="K242" s="0" t="str">
        <f aca="false">CONCATENATE(B242,E242)</f>
        <v>AN2025-05</v>
      </c>
      <c r="L242" s="1"/>
    </row>
    <row r="243" customFormat="false" ht="14.25" hidden="false" customHeight="false" outlineLevel="0" collapsed="false">
      <c r="B243" s="1" t="s">
        <v>55</v>
      </c>
      <c r="C243" s="1" t="str">
        <f aca="false">VLOOKUP(B243,Tabela4[],2,FALSE())</f>
        <v>Média</v>
      </c>
      <c r="D243" s="5" t="str">
        <f aca="false">VLOOKUP(B243,Tabela4[],3,FALSE())</f>
        <v>Minas Gerais</v>
      </c>
      <c r="E243" s="2" t="s">
        <v>10</v>
      </c>
      <c r="F243" s="6" t="n">
        <f aca="false">VLOOKUP($K243,'FATURAMENTO '!$A$2:$E$302,4,FALSE())</f>
        <v>49189</v>
      </c>
      <c r="G243" s="6" t="n">
        <f aca="false">VLOOKUP($K243,'FATURAMENTO '!$A$2:$E$302,5,FALSE())</f>
        <v>26285.75</v>
      </c>
      <c r="H243" s="1" t="str">
        <f aca="false">VLOOKUP($K243,CHURN!$A$2:$E$302,4,FALSE())</f>
        <v>Ativo</v>
      </c>
      <c r="I243" s="7" t="n">
        <f aca="false">(F243-G243)/F243</f>
        <v>0.465617312813841</v>
      </c>
      <c r="J243" s="1" t="str">
        <f aca="false">IF(INDEX($I$3:$I$302,MATCH(B243,$B$3:$B$302,0))&gt;50%,"Alto valor",IF(INDEX($I$3:$I$302,MATCH(B243,$B$3:$B$302,0))&gt;=30%,"Médio valor","Baixo valor"))</f>
        <v>Médio valor</v>
      </c>
      <c r="K243" s="0" t="str">
        <f aca="false">CONCATENATE(B243,E243)</f>
        <v>AO2024-12</v>
      </c>
      <c r="L243" s="1"/>
    </row>
    <row r="244" customFormat="false" ht="14.25" hidden="false" customHeight="false" outlineLevel="0" collapsed="false">
      <c r="B244" s="1" t="s">
        <v>55</v>
      </c>
      <c r="C244" s="1" t="str">
        <f aca="false">VLOOKUP(B244,Tabela4[],2,FALSE())</f>
        <v>Média</v>
      </c>
      <c r="D244" s="5" t="str">
        <f aca="false">VLOOKUP(B244,Tabela4[],3,FALSE())</f>
        <v>Minas Gerais</v>
      </c>
      <c r="E244" s="2" t="s">
        <v>11</v>
      </c>
      <c r="F244" s="6" t="n">
        <f aca="false">VLOOKUP($K244,'FATURAMENTO '!$A$2:$E$302,4,FALSE())</f>
        <v>35723</v>
      </c>
      <c r="G244" s="6" t="n">
        <f aca="false">VLOOKUP($K244,'FATURAMENTO '!$A$2:$E$302,5,FALSE())</f>
        <v>23567.49</v>
      </c>
      <c r="H244" s="1" t="str">
        <f aca="false">VLOOKUP($K244,CHURN!$A$2:$E$302,4,FALSE())</f>
        <v>Cancelado</v>
      </c>
      <c r="I244" s="7" t="n">
        <f aca="false">(F244-G244)/F244</f>
        <v>0.340271253814069</v>
      </c>
      <c r="J244" s="1" t="str">
        <f aca="false">IF(INDEX($I$3:$I$302,MATCH(B244,$B$3:$B$302,0))&gt;50%,"Alto valor",IF(INDEX($I$3:$I$302,MATCH(B244,$B$3:$B$302,0))&gt;=30%,"Médio valor","Baixo valor"))</f>
        <v>Médio valor</v>
      </c>
      <c r="K244" s="0" t="str">
        <f aca="false">CONCATENATE(B244,E244)</f>
        <v>AO2025-01</v>
      </c>
      <c r="L244" s="1"/>
    </row>
    <row r="245" customFormat="false" ht="14.25" hidden="false" customHeight="false" outlineLevel="0" collapsed="false">
      <c r="B245" s="1" t="s">
        <v>55</v>
      </c>
      <c r="C245" s="1" t="str">
        <f aca="false">VLOOKUP(B245,Tabela4[],2,FALSE())</f>
        <v>Média</v>
      </c>
      <c r="D245" s="5" t="str">
        <f aca="false">VLOOKUP(B245,Tabela4[],3,FALSE())</f>
        <v>Minas Gerais</v>
      </c>
      <c r="E245" s="2" t="s">
        <v>12</v>
      </c>
      <c r="F245" s="6" t="n">
        <f aca="false">VLOOKUP($K245,'FATURAMENTO '!$A$2:$E$302,4,FALSE())</f>
        <v>31884</v>
      </c>
      <c r="G245" s="6" t="n">
        <f aca="false">VLOOKUP($K245,'FATURAMENTO '!$A$2:$E$302,5,FALSE())</f>
        <v>21240.77</v>
      </c>
      <c r="H245" s="1" t="str">
        <f aca="false">VLOOKUP($K245,CHURN!$A$2:$E$302,4,FALSE())</f>
        <v>Ativo</v>
      </c>
      <c r="I245" s="7" t="n">
        <f aca="false">(F245-G245)/F245</f>
        <v>0.333811002383641</v>
      </c>
      <c r="J245" s="1" t="str">
        <f aca="false">IF(INDEX($I$3:$I$302,MATCH(B245,$B$3:$B$302,0))&gt;50%,"Alto valor",IF(INDEX($I$3:$I$302,MATCH(B245,$B$3:$B$302,0))&gt;=30%,"Médio valor","Baixo valor"))</f>
        <v>Médio valor</v>
      </c>
      <c r="K245" s="0" t="str">
        <f aca="false">CONCATENATE(B245,E245)</f>
        <v>AO2025-02</v>
      </c>
      <c r="L245" s="1"/>
    </row>
    <row r="246" customFormat="false" ht="14.25" hidden="false" customHeight="false" outlineLevel="0" collapsed="false">
      <c r="B246" s="1" t="s">
        <v>55</v>
      </c>
      <c r="C246" s="1" t="str">
        <f aca="false">VLOOKUP(B246,Tabela4[],2,FALSE())</f>
        <v>Média</v>
      </c>
      <c r="D246" s="5" t="str">
        <f aca="false">VLOOKUP(B246,Tabela4[],3,FALSE())</f>
        <v>Minas Gerais</v>
      </c>
      <c r="E246" s="2" t="s">
        <v>13</v>
      </c>
      <c r="F246" s="6" t="n">
        <f aca="false">VLOOKUP($K246,'FATURAMENTO '!$A$2:$E$302,4,FALSE())</f>
        <v>39221</v>
      </c>
      <c r="G246" s="6" t="n">
        <f aca="false">VLOOKUP($K246,'FATURAMENTO '!$A$2:$E$302,5,FALSE())</f>
        <v>24824.12</v>
      </c>
      <c r="H246" s="1" t="str">
        <f aca="false">VLOOKUP($K246,CHURN!$A$2:$E$302,4,FALSE())</f>
        <v>Cancelado</v>
      </c>
      <c r="I246" s="7" t="n">
        <f aca="false">(F246-G246)/F246</f>
        <v>0.36707070191989</v>
      </c>
      <c r="J246" s="1" t="str">
        <f aca="false">IF(INDEX($I$3:$I$302,MATCH(B246,$B$3:$B$302,0))&gt;50%,"Alto valor",IF(INDEX($I$3:$I$302,MATCH(B246,$B$3:$B$302,0))&gt;=30%,"Médio valor","Baixo valor"))</f>
        <v>Médio valor</v>
      </c>
      <c r="K246" s="0" t="str">
        <f aca="false">CONCATENATE(B246,E246)</f>
        <v>AO2025-03</v>
      </c>
      <c r="L246" s="1"/>
    </row>
    <row r="247" customFormat="false" ht="14.25" hidden="false" customHeight="false" outlineLevel="0" collapsed="false">
      <c r="B247" s="1" t="s">
        <v>55</v>
      </c>
      <c r="C247" s="1" t="str">
        <f aca="false">VLOOKUP(B247,Tabela4[],2,FALSE())</f>
        <v>Média</v>
      </c>
      <c r="D247" s="5" t="str">
        <f aca="false">VLOOKUP(B247,Tabela4[],3,FALSE())</f>
        <v>Minas Gerais</v>
      </c>
      <c r="E247" s="2" t="s">
        <v>14</v>
      </c>
      <c r="F247" s="6" t="n">
        <f aca="false">VLOOKUP($K247,'FATURAMENTO '!$A$2:$E$302,4,FALSE())</f>
        <v>27176</v>
      </c>
      <c r="G247" s="6" t="n">
        <f aca="false">VLOOKUP($K247,'FATURAMENTO '!$A$2:$E$302,5,FALSE())</f>
        <v>20582.74</v>
      </c>
      <c r="H247" s="1" t="str">
        <f aca="false">VLOOKUP($K247,CHURN!$A$2:$E$302,4,FALSE())</f>
        <v>Ativo</v>
      </c>
      <c r="I247" s="7" t="n">
        <f aca="false">(F247-G247)/F247</f>
        <v>0.242613335295849</v>
      </c>
      <c r="J247" s="1" t="str">
        <f aca="false">IF(INDEX($I$3:$I$302,MATCH(B247,$B$3:$B$302,0))&gt;50%,"Alto valor",IF(INDEX($I$3:$I$302,MATCH(B247,$B$3:$B$302,0))&gt;=30%,"Médio valor","Baixo valor"))</f>
        <v>Médio valor</v>
      </c>
      <c r="K247" s="0" t="str">
        <f aca="false">CONCATENATE(B247,E247)</f>
        <v>AO2025-04</v>
      </c>
      <c r="L247" s="1"/>
    </row>
    <row r="248" customFormat="false" ht="14.25" hidden="false" customHeight="false" outlineLevel="0" collapsed="false">
      <c r="B248" s="1" t="s">
        <v>55</v>
      </c>
      <c r="C248" s="1" t="str">
        <f aca="false">VLOOKUP(B248,Tabela4[],2,FALSE())</f>
        <v>Média</v>
      </c>
      <c r="D248" s="5" t="str">
        <f aca="false">VLOOKUP(B248,Tabela4[],3,FALSE())</f>
        <v>Minas Gerais</v>
      </c>
      <c r="E248" s="2" t="s">
        <v>15</v>
      </c>
      <c r="F248" s="6" t="n">
        <f aca="false">VLOOKUP($K248,'FATURAMENTO '!$A$2:$E$302,4,FALSE())</f>
        <v>41925</v>
      </c>
      <c r="G248" s="6" t="n">
        <f aca="false">VLOOKUP($K248,'FATURAMENTO '!$A$2:$E$302,5,FALSE())</f>
        <v>30881.23</v>
      </c>
      <c r="H248" s="1" t="str">
        <f aca="false">VLOOKUP($K248,CHURN!$A$2:$E$302,4,FALSE())</f>
        <v>Ativo</v>
      </c>
      <c r="I248" s="7" t="n">
        <f aca="false">(F248-G248)/F248</f>
        <v>0.263417292784735</v>
      </c>
      <c r="J248" s="1" t="str">
        <f aca="false">IF(INDEX($I$3:$I$302,MATCH(B248,$B$3:$B$302,0))&gt;50%,"Alto valor",IF(INDEX($I$3:$I$302,MATCH(B248,$B$3:$B$302,0))&gt;=30%,"Médio valor","Baixo valor"))</f>
        <v>Médio valor</v>
      </c>
      <c r="K248" s="0" t="str">
        <f aca="false">CONCATENATE(B248,E248)</f>
        <v>AO2025-05</v>
      </c>
      <c r="L248" s="1"/>
    </row>
    <row r="249" customFormat="false" ht="14.25" hidden="false" customHeight="false" outlineLevel="0" collapsed="false">
      <c r="B249" s="1" t="s">
        <v>56</v>
      </c>
      <c r="C249" s="1" t="str">
        <f aca="false">VLOOKUP(B249,Tabela4[],2,FALSE())</f>
        <v>Pequena</v>
      </c>
      <c r="D249" s="5" t="str">
        <f aca="false">VLOOKUP(B249,Tabela4[],3,FALSE())</f>
        <v>São Paulo</v>
      </c>
      <c r="E249" s="2" t="s">
        <v>10</v>
      </c>
      <c r="F249" s="6" t="n">
        <f aca="false">VLOOKUP($K249,'FATURAMENTO '!$A$2:$E$302,4,FALSE())</f>
        <v>12359</v>
      </c>
      <c r="G249" s="6" t="n">
        <f aca="false">VLOOKUP($K249,'FATURAMENTO '!$A$2:$E$302,5,FALSE())</f>
        <v>9527.25</v>
      </c>
      <c r="H249" s="1" t="str">
        <f aca="false">VLOOKUP($K249,CHURN!$A$2:$E$302,4,FALSE())</f>
        <v>Ativo</v>
      </c>
      <c r="I249" s="7" t="n">
        <f aca="false">(F249-G249)/F249</f>
        <v>0.229124524637916</v>
      </c>
      <c r="J249" s="1" t="str">
        <f aca="false">IF(INDEX($I$3:$I$302,MATCH(B249,$B$3:$B$302,0))&gt;50%,"Alto valor",IF(INDEX($I$3:$I$302,MATCH(B249,$B$3:$B$302,0))&gt;=30%,"Médio valor","Baixo valor"))</f>
        <v>Baixo valor</v>
      </c>
      <c r="K249" s="0" t="str">
        <f aca="false">CONCATENATE(B249,E249)</f>
        <v>AP2024-12</v>
      </c>
      <c r="L249" s="1"/>
    </row>
    <row r="250" customFormat="false" ht="14.25" hidden="false" customHeight="false" outlineLevel="0" collapsed="false">
      <c r="B250" s="1" t="s">
        <v>56</v>
      </c>
      <c r="C250" s="1" t="str">
        <f aca="false">VLOOKUP(B250,Tabela4[],2,FALSE())</f>
        <v>Pequena</v>
      </c>
      <c r="D250" s="5" t="str">
        <f aca="false">VLOOKUP(B250,Tabela4[],3,FALSE())</f>
        <v>São Paulo</v>
      </c>
      <c r="E250" s="2" t="s">
        <v>11</v>
      </c>
      <c r="F250" s="6" t="n">
        <f aca="false">VLOOKUP($K250,'FATURAMENTO '!$A$2:$E$302,4,FALSE())</f>
        <v>10846</v>
      </c>
      <c r="G250" s="6" t="n">
        <f aca="false">VLOOKUP($K250,'FATURAMENTO '!$A$2:$E$302,5,FALSE())</f>
        <v>8446.72</v>
      </c>
      <c r="H250" s="1" t="str">
        <f aca="false">VLOOKUP($K250,CHURN!$A$2:$E$302,4,FALSE())</f>
        <v>Cancelado</v>
      </c>
      <c r="I250" s="7" t="n">
        <f aca="false">(F250-G250)/F250</f>
        <v>0.221213350543979</v>
      </c>
      <c r="J250" s="1" t="str">
        <f aca="false">IF(INDEX($I$3:$I$302,MATCH(B250,$B$3:$B$302,0))&gt;50%,"Alto valor",IF(INDEX($I$3:$I$302,MATCH(B250,$B$3:$B$302,0))&gt;=30%,"Médio valor","Baixo valor"))</f>
        <v>Baixo valor</v>
      </c>
      <c r="K250" s="0" t="str">
        <f aca="false">CONCATENATE(B250,E250)</f>
        <v>AP2025-01</v>
      </c>
      <c r="L250" s="1"/>
    </row>
    <row r="251" customFormat="false" ht="14.25" hidden="false" customHeight="false" outlineLevel="0" collapsed="false">
      <c r="B251" s="1" t="s">
        <v>56</v>
      </c>
      <c r="C251" s="1" t="str">
        <f aca="false">VLOOKUP(B251,Tabela4[],2,FALSE())</f>
        <v>Pequena</v>
      </c>
      <c r="D251" s="5" t="str">
        <f aca="false">VLOOKUP(B251,Tabela4[],3,FALSE())</f>
        <v>São Paulo</v>
      </c>
      <c r="E251" s="2" t="s">
        <v>12</v>
      </c>
      <c r="F251" s="6" t="n">
        <f aca="false">VLOOKUP($K251,'FATURAMENTO '!$A$2:$E$302,4,FALSE())</f>
        <v>49109</v>
      </c>
      <c r="G251" s="6" t="n">
        <f aca="false">VLOOKUP($K251,'FATURAMENTO '!$A$2:$E$302,5,FALSE())</f>
        <v>29662.54</v>
      </c>
      <c r="H251" s="1" t="str">
        <f aca="false">VLOOKUP($K251,CHURN!$A$2:$E$302,4,FALSE())</f>
        <v>Ativo</v>
      </c>
      <c r="I251" s="7" t="n">
        <f aca="false">(F251-G251)/F251</f>
        <v>0.395985664542141</v>
      </c>
      <c r="J251" s="1" t="str">
        <f aca="false">IF(INDEX($I$3:$I$302,MATCH(B251,$B$3:$B$302,0))&gt;50%,"Alto valor",IF(INDEX($I$3:$I$302,MATCH(B251,$B$3:$B$302,0))&gt;=30%,"Médio valor","Baixo valor"))</f>
        <v>Baixo valor</v>
      </c>
      <c r="K251" s="0" t="str">
        <f aca="false">CONCATENATE(B251,E251)</f>
        <v>AP2025-02</v>
      </c>
      <c r="L251" s="1"/>
    </row>
    <row r="252" customFormat="false" ht="14.25" hidden="false" customHeight="false" outlineLevel="0" collapsed="false">
      <c r="B252" s="1" t="s">
        <v>56</v>
      </c>
      <c r="C252" s="1" t="str">
        <f aca="false">VLOOKUP(B252,Tabela4[],2,FALSE())</f>
        <v>Pequena</v>
      </c>
      <c r="D252" s="5" t="str">
        <f aca="false">VLOOKUP(B252,Tabela4[],3,FALSE())</f>
        <v>São Paulo</v>
      </c>
      <c r="E252" s="2" t="s">
        <v>13</v>
      </c>
      <c r="F252" s="6" t="n">
        <f aca="false">VLOOKUP($K252,'FATURAMENTO '!$A$2:$E$302,4,FALSE())</f>
        <v>14581</v>
      </c>
      <c r="G252" s="6" t="n">
        <f aca="false">VLOOKUP($K252,'FATURAMENTO '!$A$2:$E$302,5,FALSE())</f>
        <v>7722.65</v>
      </c>
      <c r="H252" s="1" t="str">
        <f aca="false">VLOOKUP($K252,CHURN!$A$2:$E$302,4,FALSE())</f>
        <v>Ativo</v>
      </c>
      <c r="I252" s="7" t="n">
        <f aca="false">(F252-G252)/F252</f>
        <v>0.47036211508127</v>
      </c>
      <c r="J252" s="1" t="str">
        <f aca="false">IF(INDEX($I$3:$I$302,MATCH(B252,$B$3:$B$302,0))&gt;50%,"Alto valor",IF(INDEX($I$3:$I$302,MATCH(B252,$B$3:$B$302,0))&gt;=30%,"Médio valor","Baixo valor"))</f>
        <v>Baixo valor</v>
      </c>
      <c r="K252" s="0" t="str">
        <f aca="false">CONCATENATE(B252,E252)</f>
        <v>AP2025-03</v>
      </c>
      <c r="L252" s="1"/>
    </row>
    <row r="253" customFormat="false" ht="14.25" hidden="false" customHeight="false" outlineLevel="0" collapsed="false">
      <c r="B253" s="1" t="s">
        <v>56</v>
      </c>
      <c r="C253" s="1" t="str">
        <f aca="false">VLOOKUP(B253,Tabela4[],2,FALSE())</f>
        <v>Pequena</v>
      </c>
      <c r="D253" s="5" t="str">
        <f aca="false">VLOOKUP(B253,Tabela4[],3,FALSE())</f>
        <v>São Paulo</v>
      </c>
      <c r="E253" s="2" t="s">
        <v>14</v>
      </c>
      <c r="F253" s="6" t="n">
        <f aca="false">VLOOKUP($K253,'FATURAMENTO '!$A$2:$E$302,4,FALSE())</f>
        <v>48615</v>
      </c>
      <c r="G253" s="6" t="n">
        <f aca="false">VLOOKUP($K253,'FATURAMENTO '!$A$2:$E$302,5,FALSE())</f>
        <v>35548.63</v>
      </c>
      <c r="H253" s="1" t="str">
        <f aca="false">VLOOKUP($K253,CHURN!$A$2:$E$302,4,FALSE())</f>
        <v>Ativo</v>
      </c>
      <c r="I253" s="7" t="n">
        <f aca="false">(F253-G253)/F253</f>
        <v>0.268772395351229</v>
      </c>
      <c r="J253" s="1" t="str">
        <f aca="false">IF(INDEX($I$3:$I$302,MATCH(B253,$B$3:$B$302,0))&gt;50%,"Alto valor",IF(INDEX($I$3:$I$302,MATCH(B253,$B$3:$B$302,0))&gt;=30%,"Médio valor","Baixo valor"))</f>
        <v>Baixo valor</v>
      </c>
      <c r="K253" s="0" t="str">
        <f aca="false">CONCATENATE(B253,E253)</f>
        <v>AP2025-04</v>
      </c>
      <c r="L253" s="1"/>
    </row>
    <row r="254" customFormat="false" ht="14.25" hidden="false" customHeight="false" outlineLevel="0" collapsed="false">
      <c r="B254" s="1" t="s">
        <v>56</v>
      </c>
      <c r="C254" s="1" t="str">
        <f aca="false">VLOOKUP(B254,Tabela4[],2,FALSE())</f>
        <v>Pequena</v>
      </c>
      <c r="D254" s="5" t="str">
        <f aca="false">VLOOKUP(B254,Tabela4[],3,FALSE())</f>
        <v>São Paulo</v>
      </c>
      <c r="E254" s="2" t="s">
        <v>15</v>
      </c>
      <c r="F254" s="6" t="n">
        <f aca="false">VLOOKUP($K254,'FATURAMENTO '!$A$2:$E$302,4,FALSE())</f>
        <v>19053</v>
      </c>
      <c r="G254" s="6" t="n">
        <f aca="false">VLOOKUP($K254,'FATURAMENTO '!$A$2:$E$302,5,FALSE())</f>
        <v>11561.88</v>
      </c>
      <c r="H254" s="1" t="str">
        <f aca="false">VLOOKUP($K254,CHURN!$A$2:$E$302,4,FALSE())</f>
        <v>Cancelado</v>
      </c>
      <c r="I254" s="7" t="n">
        <f aca="false">(F254-G254)/F254</f>
        <v>0.393172728704141</v>
      </c>
      <c r="J254" s="1" t="str">
        <f aca="false">IF(INDEX($I$3:$I$302,MATCH(B254,$B$3:$B$302,0))&gt;50%,"Alto valor",IF(INDEX($I$3:$I$302,MATCH(B254,$B$3:$B$302,0))&gt;=30%,"Médio valor","Baixo valor"))</f>
        <v>Baixo valor</v>
      </c>
      <c r="K254" s="0" t="str">
        <f aca="false">CONCATENATE(B254,E254)</f>
        <v>AP2025-05</v>
      </c>
      <c r="L254" s="1"/>
    </row>
    <row r="255" customFormat="false" ht="14.25" hidden="false" customHeight="false" outlineLevel="0" collapsed="false">
      <c r="B255" s="1" t="s">
        <v>57</v>
      </c>
      <c r="C255" s="1" t="str">
        <f aca="false">VLOOKUP(B255,Tabela4[],2,FALSE())</f>
        <v>Grande</v>
      </c>
      <c r="D255" s="5" t="str">
        <f aca="false">VLOOKUP(B255,Tabela4[],3,FALSE())</f>
        <v>Rio de Janeiro</v>
      </c>
      <c r="E255" s="2" t="s">
        <v>10</v>
      </c>
      <c r="F255" s="6" t="n">
        <f aca="false">VLOOKUP($K255,'FATURAMENTO '!$A$2:$E$302,4,FALSE())</f>
        <v>3142</v>
      </c>
      <c r="G255" s="6" t="n">
        <f aca="false">VLOOKUP($K255,'FATURAMENTO '!$A$2:$E$302,5,FALSE())</f>
        <v>2045.59</v>
      </c>
      <c r="H255" s="1" t="str">
        <f aca="false">VLOOKUP($K255,CHURN!$A$2:$E$302,4,FALSE())</f>
        <v>Ativo</v>
      </c>
      <c r="I255" s="7" t="n">
        <f aca="false">(F255-G255)/F255</f>
        <v>0.34895289624443</v>
      </c>
      <c r="J255" s="1" t="str">
        <f aca="false">IF(INDEX($I$3:$I$302,MATCH(B255,$B$3:$B$302,0))&gt;50%,"Alto valor",IF(INDEX($I$3:$I$302,MATCH(B255,$B$3:$B$302,0))&gt;=30%,"Médio valor","Baixo valor"))</f>
        <v>Médio valor</v>
      </c>
      <c r="K255" s="0" t="str">
        <f aca="false">CONCATENATE(B255,E255)</f>
        <v>AQ2024-12</v>
      </c>
      <c r="L255" s="1"/>
    </row>
    <row r="256" customFormat="false" ht="14.25" hidden="false" customHeight="false" outlineLevel="0" collapsed="false">
      <c r="B256" s="1" t="s">
        <v>57</v>
      </c>
      <c r="C256" s="1" t="str">
        <f aca="false">VLOOKUP(B256,Tabela4[],2,FALSE())</f>
        <v>Grande</v>
      </c>
      <c r="D256" s="5" t="str">
        <f aca="false">VLOOKUP(B256,Tabela4[],3,FALSE())</f>
        <v>Rio de Janeiro</v>
      </c>
      <c r="E256" s="2" t="s">
        <v>11</v>
      </c>
      <c r="F256" s="6" t="n">
        <f aca="false">VLOOKUP($K256,'FATURAMENTO '!$A$2:$E$302,4,FALSE())</f>
        <v>31278</v>
      </c>
      <c r="G256" s="6" t="n">
        <f aca="false">VLOOKUP($K256,'FATURAMENTO '!$A$2:$E$302,5,FALSE())</f>
        <v>15750.59</v>
      </c>
      <c r="H256" s="1" t="str">
        <f aca="false">VLOOKUP($K256,CHURN!$A$2:$E$302,4,FALSE())</f>
        <v>Ativo</v>
      </c>
      <c r="I256" s="7" t="n">
        <f aca="false">(F256-G256)/F256</f>
        <v>0.496432316644287</v>
      </c>
      <c r="J256" s="1" t="str">
        <f aca="false">IF(INDEX($I$3:$I$302,MATCH(B256,$B$3:$B$302,0))&gt;50%,"Alto valor",IF(INDEX($I$3:$I$302,MATCH(B256,$B$3:$B$302,0))&gt;=30%,"Médio valor","Baixo valor"))</f>
        <v>Médio valor</v>
      </c>
      <c r="K256" s="0" t="str">
        <f aca="false">CONCATENATE(B256,E256)</f>
        <v>AQ2025-01</v>
      </c>
      <c r="L256" s="1"/>
    </row>
    <row r="257" customFormat="false" ht="14.25" hidden="false" customHeight="false" outlineLevel="0" collapsed="false">
      <c r="B257" s="1" t="s">
        <v>57</v>
      </c>
      <c r="C257" s="1" t="str">
        <f aca="false">VLOOKUP(B257,Tabela4[],2,FALSE())</f>
        <v>Grande</v>
      </c>
      <c r="D257" s="5" t="str">
        <f aca="false">VLOOKUP(B257,Tabela4[],3,FALSE())</f>
        <v>Rio de Janeiro</v>
      </c>
      <c r="E257" s="2" t="s">
        <v>12</v>
      </c>
      <c r="F257" s="6" t="n">
        <f aca="false">VLOOKUP($K257,'FATURAMENTO '!$A$2:$E$302,4,FALSE())</f>
        <v>29699</v>
      </c>
      <c r="G257" s="6" t="n">
        <f aca="false">VLOOKUP($K257,'FATURAMENTO '!$A$2:$E$302,5,FALSE())</f>
        <v>22527.04</v>
      </c>
      <c r="H257" s="1" t="str">
        <f aca="false">VLOOKUP($K257,CHURN!$A$2:$E$302,4,FALSE())</f>
        <v>Cancelado</v>
      </c>
      <c r="I257" s="7" t="n">
        <f aca="false">(F257-G257)/F257</f>
        <v>0.241488265598168</v>
      </c>
      <c r="J257" s="1" t="str">
        <f aca="false">IF(INDEX($I$3:$I$302,MATCH(B257,$B$3:$B$302,0))&gt;50%,"Alto valor",IF(INDEX($I$3:$I$302,MATCH(B257,$B$3:$B$302,0))&gt;=30%,"Médio valor","Baixo valor"))</f>
        <v>Médio valor</v>
      </c>
      <c r="K257" s="0" t="str">
        <f aca="false">CONCATENATE(B257,E257)</f>
        <v>AQ2025-02</v>
      </c>
      <c r="L257" s="1"/>
    </row>
    <row r="258" customFormat="false" ht="14.25" hidden="false" customHeight="false" outlineLevel="0" collapsed="false">
      <c r="B258" s="1" t="s">
        <v>57</v>
      </c>
      <c r="C258" s="1" t="str">
        <f aca="false">VLOOKUP(B258,Tabela4[],2,FALSE())</f>
        <v>Grande</v>
      </c>
      <c r="D258" s="5" t="str">
        <f aca="false">VLOOKUP(B258,Tabela4[],3,FALSE())</f>
        <v>Rio de Janeiro</v>
      </c>
      <c r="E258" s="2" t="s">
        <v>13</v>
      </c>
      <c r="F258" s="6" t="n">
        <f aca="false">VLOOKUP($K258,'FATURAMENTO '!$A$2:$E$302,4,FALSE())</f>
        <v>26942</v>
      </c>
      <c r="G258" s="6" t="n">
        <f aca="false">VLOOKUP($K258,'FATURAMENTO '!$A$2:$E$302,5,FALSE())</f>
        <v>21009.39</v>
      </c>
      <c r="H258" s="1" t="str">
        <f aca="false">VLOOKUP($K258,CHURN!$A$2:$E$302,4,FALSE())</f>
        <v>Ativo</v>
      </c>
      <c r="I258" s="7" t="n">
        <f aca="false">(F258-G258)/F258</f>
        <v>0.220199317051444</v>
      </c>
      <c r="J258" s="1" t="str">
        <f aca="false">IF(INDEX($I$3:$I$302,MATCH(B258,$B$3:$B$302,0))&gt;50%,"Alto valor",IF(INDEX($I$3:$I$302,MATCH(B258,$B$3:$B$302,0))&gt;=30%,"Médio valor","Baixo valor"))</f>
        <v>Médio valor</v>
      </c>
      <c r="K258" s="0" t="str">
        <f aca="false">CONCATENATE(B258,E258)</f>
        <v>AQ2025-03</v>
      </c>
      <c r="L258" s="1"/>
    </row>
    <row r="259" customFormat="false" ht="14.25" hidden="false" customHeight="false" outlineLevel="0" collapsed="false">
      <c r="B259" s="1" t="s">
        <v>57</v>
      </c>
      <c r="C259" s="1" t="str">
        <f aca="false">VLOOKUP(B259,Tabela4[],2,FALSE())</f>
        <v>Grande</v>
      </c>
      <c r="D259" s="5" t="str">
        <f aca="false">VLOOKUP(B259,Tabela4[],3,FALSE())</f>
        <v>Rio de Janeiro</v>
      </c>
      <c r="E259" s="2" t="s">
        <v>14</v>
      </c>
      <c r="F259" s="6" t="n">
        <f aca="false">VLOOKUP($K259,'FATURAMENTO '!$A$2:$E$302,4,FALSE())</f>
        <v>23327</v>
      </c>
      <c r="G259" s="6" t="n">
        <f aca="false">VLOOKUP($K259,'FATURAMENTO '!$A$2:$E$302,5,FALSE())</f>
        <v>14661.83</v>
      </c>
      <c r="H259" s="1" t="str">
        <f aca="false">VLOOKUP($K259,CHURN!$A$2:$E$302,4,FALSE())</f>
        <v>Ativo</v>
      </c>
      <c r="I259" s="7" t="n">
        <f aca="false">(F259-G259)/F259</f>
        <v>0.371465254854889</v>
      </c>
      <c r="J259" s="1" t="str">
        <f aca="false">IF(INDEX($I$3:$I$302,MATCH(B259,$B$3:$B$302,0))&gt;50%,"Alto valor",IF(INDEX($I$3:$I$302,MATCH(B259,$B$3:$B$302,0))&gt;=30%,"Médio valor","Baixo valor"))</f>
        <v>Médio valor</v>
      </c>
      <c r="K259" s="0" t="str">
        <f aca="false">CONCATENATE(B259,E259)</f>
        <v>AQ2025-04</v>
      </c>
      <c r="L259" s="1"/>
    </row>
    <row r="260" customFormat="false" ht="14.25" hidden="false" customHeight="false" outlineLevel="0" collapsed="false">
      <c r="B260" s="1" t="s">
        <v>57</v>
      </c>
      <c r="C260" s="1" t="str">
        <f aca="false">VLOOKUP(B260,Tabela4[],2,FALSE())</f>
        <v>Grande</v>
      </c>
      <c r="D260" s="5" t="str">
        <f aca="false">VLOOKUP(B260,Tabela4[],3,FALSE())</f>
        <v>Rio de Janeiro</v>
      </c>
      <c r="E260" s="2" t="s">
        <v>15</v>
      </c>
      <c r="F260" s="6" t="n">
        <f aca="false">VLOOKUP($K260,'FATURAMENTO '!$A$2:$E$302,4,FALSE())</f>
        <v>32952</v>
      </c>
      <c r="G260" s="6" t="n">
        <f aca="false">VLOOKUP($K260,'FATURAMENTO '!$A$2:$E$302,5,FALSE())</f>
        <v>23166.99</v>
      </c>
      <c r="H260" s="1" t="str">
        <f aca="false">VLOOKUP($K260,CHURN!$A$2:$E$302,4,FALSE())</f>
        <v>Cancelado</v>
      </c>
      <c r="I260" s="7" t="n">
        <f aca="false">(F260-G260)/F260</f>
        <v>0.29694737800437</v>
      </c>
      <c r="J260" s="1" t="str">
        <f aca="false">IF(INDEX($I$3:$I$302,MATCH(B260,$B$3:$B$302,0))&gt;50%,"Alto valor",IF(INDEX($I$3:$I$302,MATCH(B260,$B$3:$B$302,0))&gt;=30%,"Médio valor","Baixo valor"))</f>
        <v>Médio valor</v>
      </c>
      <c r="K260" s="0" t="str">
        <f aca="false">CONCATENATE(B260,E260)</f>
        <v>AQ2025-05</v>
      </c>
      <c r="L260" s="1"/>
    </row>
    <row r="261" customFormat="false" ht="14.25" hidden="false" customHeight="false" outlineLevel="0" collapsed="false">
      <c r="B261" s="1" t="s">
        <v>58</v>
      </c>
      <c r="C261" s="1" t="str">
        <f aca="false">VLOOKUP(B261,Tabela4[],2,FALSE())</f>
        <v>Média</v>
      </c>
      <c r="D261" s="5" t="str">
        <f aca="false">VLOOKUP(B261,Tabela4[],3,FALSE())</f>
        <v>Pernambuco</v>
      </c>
      <c r="E261" s="2" t="s">
        <v>10</v>
      </c>
      <c r="F261" s="6" t="n">
        <f aca="false">VLOOKUP($K261,'FATURAMENTO '!$A$2:$E$302,4,FALSE())</f>
        <v>23453</v>
      </c>
      <c r="G261" s="6" t="n">
        <f aca="false">VLOOKUP($K261,'FATURAMENTO '!$A$2:$E$302,5,FALSE())</f>
        <v>12067.83</v>
      </c>
      <c r="H261" s="1" t="str">
        <f aca="false">VLOOKUP($K261,CHURN!$A$2:$E$302,4,FALSE())</f>
        <v>Ativo</v>
      </c>
      <c r="I261" s="7" t="n">
        <f aca="false">(F261-G261)/F261</f>
        <v>0.48544621157208</v>
      </c>
      <c r="J261" s="1" t="str">
        <f aca="false">IF(INDEX($I$3:$I$302,MATCH(B261,$B$3:$B$302,0))&gt;50%,"Alto valor",IF(INDEX($I$3:$I$302,MATCH(B261,$B$3:$B$302,0))&gt;=30%,"Médio valor","Baixo valor"))</f>
        <v>Médio valor</v>
      </c>
      <c r="K261" s="0" t="str">
        <f aca="false">CONCATENATE(B261,E261)</f>
        <v>AR2024-12</v>
      </c>
      <c r="L261" s="1"/>
    </row>
    <row r="262" customFormat="false" ht="14.25" hidden="false" customHeight="false" outlineLevel="0" collapsed="false">
      <c r="B262" s="1" t="s">
        <v>58</v>
      </c>
      <c r="C262" s="1" t="str">
        <f aca="false">VLOOKUP(B262,Tabela4[],2,FALSE())</f>
        <v>Média</v>
      </c>
      <c r="D262" s="5" t="str">
        <f aca="false">VLOOKUP(B262,Tabela4[],3,FALSE())</f>
        <v>Pernambuco</v>
      </c>
      <c r="E262" s="2" t="s">
        <v>11</v>
      </c>
      <c r="F262" s="6" t="n">
        <f aca="false">VLOOKUP($K262,'FATURAMENTO '!$A$2:$E$302,4,FALSE())</f>
        <v>43994</v>
      </c>
      <c r="G262" s="6" t="n">
        <f aca="false">VLOOKUP($K262,'FATURAMENTO '!$A$2:$E$302,5,FALSE())</f>
        <v>34446.7</v>
      </c>
      <c r="H262" s="1" t="str">
        <f aca="false">VLOOKUP($K262,CHURN!$A$2:$E$302,4,FALSE())</f>
        <v>Ativo</v>
      </c>
      <c r="I262" s="7" t="n">
        <f aca="false">(F262-G262)/F262</f>
        <v>0.217013683684139</v>
      </c>
      <c r="J262" s="1" t="str">
        <f aca="false">IF(INDEX($I$3:$I$302,MATCH(B262,$B$3:$B$302,0))&gt;50%,"Alto valor",IF(INDEX($I$3:$I$302,MATCH(B262,$B$3:$B$302,0))&gt;=30%,"Médio valor","Baixo valor"))</f>
        <v>Médio valor</v>
      </c>
      <c r="K262" s="0" t="str">
        <f aca="false">CONCATENATE(B262,E262)</f>
        <v>AR2025-01</v>
      </c>
      <c r="L262" s="1"/>
    </row>
    <row r="263" customFormat="false" ht="14.25" hidden="false" customHeight="false" outlineLevel="0" collapsed="false">
      <c r="B263" s="1" t="s">
        <v>58</v>
      </c>
      <c r="C263" s="1" t="str">
        <f aca="false">VLOOKUP(B263,Tabela4[],2,FALSE())</f>
        <v>Média</v>
      </c>
      <c r="D263" s="5" t="str">
        <f aca="false">VLOOKUP(B263,Tabela4[],3,FALSE())</f>
        <v>Pernambuco</v>
      </c>
      <c r="E263" s="2" t="s">
        <v>12</v>
      </c>
      <c r="F263" s="6" t="n">
        <f aca="false">VLOOKUP($K263,'FATURAMENTO '!$A$2:$E$302,4,FALSE())</f>
        <v>41766</v>
      </c>
      <c r="G263" s="6" t="n">
        <f aca="false">VLOOKUP($K263,'FATURAMENTO '!$A$2:$E$302,5,FALSE())</f>
        <v>24973.86</v>
      </c>
      <c r="H263" s="1" t="str">
        <f aca="false">VLOOKUP($K263,CHURN!$A$2:$E$302,4,FALSE())</f>
        <v>Ativo</v>
      </c>
      <c r="I263" s="7" t="n">
        <f aca="false">(F263-G263)/F263</f>
        <v>0.402052865967533</v>
      </c>
      <c r="J263" s="1" t="str">
        <f aca="false">IF(INDEX($I$3:$I$302,MATCH(B263,$B$3:$B$302,0))&gt;50%,"Alto valor",IF(INDEX($I$3:$I$302,MATCH(B263,$B$3:$B$302,0))&gt;=30%,"Médio valor","Baixo valor"))</f>
        <v>Médio valor</v>
      </c>
      <c r="K263" s="0" t="str">
        <f aca="false">CONCATENATE(B263,E263)</f>
        <v>AR2025-02</v>
      </c>
      <c r="L263" s="1"/>
    </row>
    <row r="264" customFormat="false" ht="14.25" hidden="false" customHeight="false" outlineLevel="0" collapsed="false">
      <c r="B264" s="1" t="s">
        <v>58</v>
      </c>
      <c r="C264" s="1" t="str">
        <f aca="false">VLOOKUP(B264,Tabela4[],2,FALSE())</f>
        <v>Média</v>
      </c>
      <c r="D264" s="5" t="str">
        <f aca="false">VLOOKUP(B264,Tabela4[],3,FALSE())</f>
        <v>Pernambuco</v>
      </c>
      <c r="E264" s="2" t="s">
        <v>13</v>
      </c>
      <c r="F264" s="6" t="n">
        <f aca="false">VLOOKUP($K264,'FATURAMENTO '!$A$2:$E$302,4,FALSE())</f>
        <v>21105</v>
      </c>
      <c r="G264" s="6" t="n">
        <f aca="false">VLOOKUP($K264,'FATURAMENTO '!$A$2:$E$302,5,FALSE())</f>
        <v>13020.6</v>
      </c>
      <c r="H264" s="1" t="str">
        <f aca="false">VLOOKUP($K264,CHURN!$A$2:$E$302,4,FALSE())</f>
        <v>Cancelado</v>
      </c>
      <c r="I264" s="7" t="n">
        <f aca="false">(F264-G264)/F264</f>
        <v>0.383056147832267</v>
      </c>
      <c r="J264" s="1" t="str">
        <f aca="false">IF(INDEX($I$3:$I$302,MATCH(B264,$B$3:$B$302,0))&gt;50%,"Alto valor",IF(INDEX($I$3:$I$302,MATCH(B264,$B$3:$B$302,0))&gt;=30%,"Médio valor","Baixo valor"))</f>
        <v>Médio valor</v>
      </c>
      <c r="K264" s="0" t="str">
        <f aca="false">CONCATENATE(B264,E264)</f>
        <v>AR2025-03</v>
      </c>
      <c r="L264" s="1"/>
    </row>
    <row r="265" customFormat="false" ht="14.25" hidden="false" customHeight="false" outlineLevel="0" collapsed="false">
      <c r="B265" s="1" t="s">
        <v>58</v>
      </c>
      <c r="C265" s="1" t="str">
        <f aca="false">VLOOKUP(B265,Tabela4[],2,FALSE())</f>
        <v>Média</v>
      </c>
      <c r="D265" s="5" t="str">
        <f aca="false">VLOOKUP(B265,Tabela4[],3,FALSE())</f>
        <v>Pernambuco</v>
      </c>
      <c r="E265" s="2" t="s">
        <v>14</v>
      </c>
      <c r="F265" s="6" t="n">
        <f aca="false">VLOOKUP($K265,'FATURAMENTO '!$A$2:$E$302,4,FALSE())</f>
        <v>23131</v>
      </c>
      <c r="G265" s="6" t="n">
        <f aca="false">VLOOKUP($K265,'FATURAMENTO '!$A$2:$E$302,5,FALSE())</f>
        <v>15599.38</v>
      </c>
      <c r="H265" s="1" t="str">
        <f aca="false">VLOOKUP($K265,CHURN!$A$2:$E$302,4,FALSE())</f>
        <v>Ativo</v>
      </c>
      <c r="I265" s="7" t="n">
        <f aca="false">(F265-G265)/F265</f>
        <v>0.325607193809174</v>
      </c>
      <c r="J265" s="1" t="str">
        <f aca="false">IF(INDEX($I$3:$I$302,MATCH(B265,$B$3:$B$302,0))&gt;50%,"Alto valor",IF(INDEX($I$3:$I$302,MATCH(B265,$B$3:$B$302,0))&gt;=30%,"Médio valor","Baixo valor"))</f>
        <v>Médio valor</v>
      </c>
      <c r="K265" s="0" t="str">
        <f aca="false">CONCATENATE(B265,E265)</f>
        <v>AR2025-04</v>
      </c>
      <c r="L265" s="1"/>
    </row>
    <row r="266" customFormat="false" ht="14.25" hidden="false" customHeight="false" outlineLevel="0" collapsed="false">
      <c r="B266" s="1" t="s">
        <v>58</v>
      </c>
      <c r="C266" s="1" t="str">
        <f aca="false">VLOOKUP(B266,Tabela4[],2,FALSE())</f>
        <v>Média</v>
      </c>
      <c r="D266" s="5" t="str">
        <f aca="false">VLOOKUP(B266,Tabela4[],3,FALSE())</f>
        <v>Pernambuco</v>
      </c>
      <c r="E266" s="2" t="s">
        <v>15</v>
      </c>
      <c r="F266" s="6" t="n">
        <f aca="false">VLOOKUP($K266,'FATURAMENTO '!$A$2:$E$302,4,FALSE())</f>
        <v>37588</v>
      </c>
      <c r="G266" s="6" t="n">
        <f aca="false">VLOOKUP($K266,'FATURAMENTO '!$A$2:$E$302,5,FALSE())</f>
        <v>24740.71</v>
      </c>
      <c r="H266" s="1" t="str">
        <f aca="false">VLOOKUP($K266,CHURN!$A$2:$E$302,4,FALSE())</f>
        <v>Ativo</v>
      </c>
      <c r="I266" s="7" t="n">
        <f aca="false">(F266-G266)/F266</f>
        <v>0.341792327338512</v>
      </c>
      <c r="J266" s="1" t="str">
        <f aca="false">IF(INDEX($I$3:$I$302,MATCH(B266,$B$3:$B$302,0))&gt;50%,"Alto valor",IF(INDEX($I$3:$I$302,MATCH(B266,$B$3:$B$302,0))&gt;=30%,"Médio valor","Baixo valor"))</f>
        <v>Médio valor</v>
      </c>
      <c r="K266" s="0" t="str">
        <f aca="false">CONCATENATE(B266,E266)</f>
        <v>AR2025-05</v>
      </c>
      <c r="L266" s="1"/>
    </row>
    <row r="267" customFormat="false" ht="14.25" hidden="false" customHeight="false" outlineLevel="0" collapsed="false">
      <c r="B267" s="1" t="s">
        <v>59</v>
      </c>
      <c r="C267" s="1" t="str">
        <f aca="false">VLOOKUP(B267,Tabela4[],2,FALSE())</f>
        <v>Grande</v>
      </c>
      <c r="D267" s="5" t="str">
        <f aca="false">VLOOKUP(B267,Tabela4[],3,FALSE())</f>
        <v>Paraná</v>
      </c>
      <c r="E267" s="2" t="s">
        <v>10</v>
      </c>
      <c r="F267" s="6" t="n">
        <f aca="false">VLOOKUP($K267,'FATURAMENTO '!$A$2:$E$302,4,FALSE())</f>
        <v>8913</v>
      </c>
      <c r="G267" s="6" t="n">
        <f aca="false">VLOOKUP($K267,'FATURAMENTO '!$A$2:$E$302,5,FALSE())</f>
        <v>6560.5</v>
      </c>
      <c r="H267" s="1" t="str">
        <f aca="false">VLOOKUP($K267,CHURN!$A$2:$E$302,4,FALSE())</f>
        <v>Ativo</v>
      </c>
      <c r="I267" s="7" t="n">
        <f aca="false">(F267-G267)/F267</f>
        <v>0.263940311903961</v>
      </c>
      <c r="J267" s="1" t="str">
        <f aca="false">IF(INDEX($I$3:$I$302,MATCH(B267,$B$3:$B$302,0))&gt;50%,"Alto valor",IF(INDEX($I$3:$I$302,MATCH(B267,$B$3:$B$302,0))&gt;=30%,"Médio valor","Baixo valor"))</f>
        <v>Baixo valor</v>
      </c>
      <c r="K267" s="0" t="str">
        <f aca="false">CONCATENATE(B267,E267)</f>
        <v>AS2024-12</v>
      </c>
      <c r="L267" s="1"/>
    </row>
    <row r="268" customFormat="false" ht="14.25" hidden="false" customHeight="false" outlineLevel="0" collapsed="false">
      <c r="B268" s="1" t="s">
        <v>59</v>
      </c>
      <c r="C268" s="1" t="str">
        <f aca="false">VLOOKUP(B268,Tabela4[],2,FALSE())</f>
        <v>Grande</v>
      </c>
      <c r="D268" s="5" t="str">
        <f aca="false">VLOOKUP(B268,Tabela4[],3,FALSE())</f>
        <v>Paraná</v>
      </c>
      <c r="E268" s="2" t="s">
        <v>11</v>
      </c>
      <c r="F268" s="6" t="n">
        <f aca="false">VLOOKUP($K268,'FATURAMENTO '!$A$2:$E$302,4,FALSE())</f>
        <v>30440</v>
      </c>
      <c r="G268" s="6" t="n">
        <f aca="false">VLOOKUP($K268,'FATURAMENTO '!$A$2:$E$302,5,FALSE())</f>
        <v>22439.75</v>
      </c>
      <c r="H268" s="1" t="str">
        <f aca="false">VLOOKUP($K268,CHURN!$A$2:$E$302,4,FALSE())</f>
        <v>Ativo</v>
      </c>
      <c r="I268" s="7" t="n">
        <f aca="false">(F268-G268)/F268</f>
        <v>0.262820302233903</v>
      </c>
      <c r="J268" s="1" t="str">
        <f aca="false">IF(INDEX($I$3:$I$302,MATCH(B268,$B$3:$B$302,0))&gt;50%,"Alto valor",IF(INDEX($I$3:$I$302,MATCH(B268,$B$3:$B$302,0))&gt;=30%,"Médio valor","Baixo valor"))</f>
        <v>Baixo valor</v>
      </c>
      <c r="K268" s="0" t="str">
        <f aca="false">CONCATENATE(B268,E268)</f>
        <v>AS2025-01</v>
      </c>
      <c r="L268" s="1"/>
    </row>
    <row r="269" customFormat="false" ht="14.25" hidden="false" customHeight="false" outlineLevel="0" collapsed="false">
      <c r="B269" s="1" t="s">
        <v>59</v>
      </c>
      <c r="C269" s="1" t="str">
        <f aca="false">VLOOKUP(B269,Tabela4[],2,FALSE())</f>
        <v>Grande</v>
      </c>
      <c r="D269" s="5" t="str">
        <f aca="false">VLOOKUP(B269,Tabela4[],3,FALSE())</f>
        <v>Paraná</v>
      </c>
      <c r="E269" s="2" t="s">
        <v>12</v>
      </c>
      <c r="F269" s="6" t="n">
        <f aca="false">VLOOKUP($K269,'FATURAMENTO '!$A$2:$E$302,4,FALSE())</f>
        <v>9926</v>
      </c>
      <c r="G269" s="6" t="n">
        <f aca="false">VLOOKUP($K269,'FATURAMENTO '!$A$2:$E$302,5,FALSE())</f>
        <v>6261.24</v>
      </c>
      <c r="H269" s="1" t="str">
        <f aca="false">VLOOKUP($K269,CHURN!$A$2:$E$302,4,FALSE())</f>
        <v>Cancelado</v>
      </c>
      <c r="I269" s="7" t="n">
        <f aca="false">(F269-G269)/F269</f>
        <v>0.369208140237759</v>
      </c>
      <c r="J269" s="1" t="str">
        <f aca="false">IF(INDEX($I$3:$I$302,MATCH(B269,$B$3:$B$302,0))&gt;50%,"Alto valor",IF(INDEX($I$3:$I$302,MATCH(B269,$B$3:$B$302,0))&gt;=30%,"Médio valor","Baixo valor"))</f>
        <v>Baixo valor</v>
      </c>
      <c r="K269" s="0" t="str">
        <f aca="false">CONCATENATE(B269,E269)</f>
        <v>AS2025-02</v>
      </c>
      <c r="L269" s="1"/>
    </row>
    <row r="270" customFormat="false" ht="14.25" hidden="false" customHeight="false" outlineLevel="0" collapsed="false">
      <c r="B270" s="1" t="s">
        <v>59</v>
      </c>
      <c r="C270" s="1" t="str">
        <f aca="false">VLOOKUP(B270,Tabela4[],2,FALSE())</f>
        <v>Grande</v>
      </c>
      <c r="D270" s="5" t="str">
        <f aca="false">VLOOKUP(B270,Tabela4[],3,FALSE())</f>
        <v>Paraná</v>
      </c>
      <c r="E270" s="2" t="s">
        <v>13</v>
      </c>
      <c r="F270" s="6" t="n">
        <f aca="false">VLOOKUP($K270,'FATURAMENTO '!$A$2:$E$302,4,FALSE())</f>
        <v>5240</v>
      </c>
      <c r="G270" s="6" t="n">
        <f aca="false">VLOOKUP($K270,'FATURAMENTO '!$A$2:$E$302,5,FALSE())</f>
        <v>4101.44</v>
      </c>
      <c r="H270" s="1" t="str">
        <f aca="false">VLOOKUP($K270,CHURN!$A$2:$E$302,4,FALSE())</f>
        <v>Ativo</v>
      </c>
      <c r="I270" s="7" t="n">
        <f aca="false">(F270-G270)/F270</f>
        <v>0.217282442748092</v>
      </c>
      <c r="J270" s="1" t="str">
        <f aca="false">IF(INDEX($I$3:$I$302,MATCH(B270,$B$3:$B$302,0))&gt;50%,"Alto valor",IF(INDEX($I$3:$I$302,MATCH(B270,$B$3:$B$302,0))&gt;=30%,"Médio valor","Baixo valor"))</f>
        <v>Baixo valor</v>
      </c>
      <c r="K270" s="0" t="str">
        <f aca="false">CONCATENATE(B270,E270)</f>
        <v>AS2025-03</v>
      </c>
      <c r="L270" s="1"/>
    </row>
    <row r="271" customFormat="false" ht="14.25" hidden="false" customHeight="false" outlineLevel="0" collapsed="false">
      <c r="B271" s="1" t="s">
        <v>59</v>
      </c>
      <c r="C271" s="1" t="str">
        <f aca="false">VLOOKUP(B271,Tabela4[],2,FALSE())</f>
        <v>Grande</v>
      </c>
      <c r="D271" s="5" t="str">
        <f aca="false">VLOOKUP(B271,Tabela4[],3,FALSE())</f>
        <v>Paraná</v>
      </c>
      <c r="E271" s="2" t="s">
        <v>14</v>
      </c>
      <c r="F271" s="6" t="n">
        <f aca="false">VLOOKUP($K271,'FATURAMENTO '!$A$2:$E$302,4,FALSE())</f>
        <v>4200</v>
      </c>
      <c r="G271" s="6" t="n">
        <f aca="false">VLOOKUP($K271,'FATURAMENTO '!$A$2:$E$302,5,FALSE())</f>
        <v>2197.66</v>
      </c>
      <c r="H271" s="1" t="str">
        <f aca="false">VLOOKUP($K271,CHURN!$A$2:$E$302,4,FALSE())</f>
        <v>Ativo</v>
      </c>
      <c r="I271" s="7" t="n">
        <f aca="false">(F271-G271)/F271</f>
        <v>0.476747619047619</v>
      </c>
      <c r="J271" s="1" t="str">
        <f aca="false">IF(INDEX($I$3:$I$302,MATCH(B271,$B$3:$B$302,0))&gt;50%,"Alto valor",IF(INDEX($I$3:$I$302,MATCH(B271,$B$3:$B$302,0))&gt;=30%,"Médio valor","Baixo valor"))</f>
        <v>Baixo valor</v>
      </c>
      <c r="K271" s="0" t="str">
        <f aca="false">CONCATENATE(B271,E271)</f>
        <v>AS2025-04</v>
      </c>
      <c r="L271" s="1"/>
    </row>
    <row r="272" customFormat="false" ht="14.25" hidden="false" customHeight="false" outlineLevel="0" collapsed="false">
      <c r="B272" s="1" t="s">
        <v>59</v>
      </c>
      <c r="C272" s="1" t="str">
        <f aca="false">VLOOKUP(B272,Tabela4[],2,FALSE())</f>
        <v>Grande</v>
      </c>
      <c r="D272" s="5" t="str">
        <f aca="false">VLOOKUP(B272,Tabela4[],3,FALSE())</f>
        <v>Paraná</v>
      </c>
      <c r="E272" s="2" t="s">
        <v>15</v>
      </c>
      <c r="F272" s="6" t="n">
        <f aca="false">VLOOKUP($K272,'FATURAMENTO '!$A$2:$E$302,4,FALSE())</f>
        <v>27942</v>
      </c>
      <c r="G272" s="6" t="n">
        <f aca="false">VLOOKUP($K272,'FATURAMENTO '!$A$2:$E$302,5,FALSE())</f>
        <v>19425.04</v>
      </c>
      <c r="H272" s="1" t="str">
        <f aca="false">VLOOKUP($K272,CHURN!$A$2:$E$302,4,FALSE())</f>
        <v>Cancelado</v>
      </c>
      <c r="I272" s="7" t="n">
        <f aca="false">(F272-G272)/F272</f>
        <v>0.304808531959058</v>
      </c>
      <c r="J272" s="1" t="str">
        <f aca="false">IF(INDEX($I$3:$I$302,MATCH(B272,$B$3:$B$302,0))&gt;50%,"Alto valor",IF(INDEX($I$3:$I$302,MATCH(B272,$B$3:$B$302,0))&gt;=30%,"Médio valor","Baixo valor"))</f>
        <v>Baixo valor</v>
      </c>
      <c r="K272" s="0" t="str">
        <f aca="false">CONCATENATE(B272,E272)</f>
        <v>AS2025-05</v>
      </c>
      <c r="L272" s="1"/>
    </row>
    <row r="273" customFormat="false" ht="14.25" hidden="false" customHeight="false" outlineLevel="0" collapsed="false">
      <c r="B273" s="1" t="s">
        <v>60</v>
      </c>
      <c r="C273" s="1" t="str">
        <f aca="false">VLOOKUP(B273,Tabela4[],2,FALSE())</f>
        <v>Média</v>
      </c>
      <c r="D273" s="5" t="str">
        <f aca="false">VLOOKUP(B273,Tabela4[],3,FALSE())</f>
        <v>Rio Grande do Sul</v>
      </c>
      <c r="E273" s="2" t="s">
        <v>10</v>
      </c>
      <c r="F273" s="6" t="n">
        <f aca="false">VLOOKUP($K273,'FATURAMENTO '!$A$2:$E$302,4,FALSE())</f>
        <v>37061</v>
      </c>
      <c r="G273" s="6" t="n">
        <f aca="false">VLOOKUP($K273,'FATURAMENTO '!$A$2:$E$302,5,FALSE())</f>
        <v>22688.76</v>
      </c>
      <c r="H273" s="1" t="str">
        <f aca="false">VLOOKUP($K273,CHURN!$A$2:$E$302,4,FALSE())</f>
        <v>Cancelado</v>
      </c>
      <c r="I273" s="7" t="n">
        <f aca="false">(F273-G273)/F273</f>
        <v>0.387799573675832</v>
      </c>
      <c r="J273" s="1" t="str">
        <f aca="false">IF(INDEX($I$3:$I$302,MATCH(B273,$B$3:$B$302,0))&gt;50%,"Alto valor",IF(INDEX($I$3:$I$302,MATCH(B273,$B$3:$B$302,0))&gt;=30%,"Médio valor","Baixo valor"))</f>
        <v>Médio valor</v>
      </c>
      <c r="K273" s="0" t="str">
        <f aca="false">CONCATENATE(B273,E273)</f>
        <v>AT2024-12</v>
      </c>
      <c r="L273" s="1"/>
    </row>
    <row r="274" customFormat="false" ht="14.25" hidden="false" customHeight="false" outlineLevel="0" collapsed="false">
      <c r="B274" s="1" t="s">
        <v>60</v>
      </c>
      <c r="C274" s="1" t="str">
        <f aca="false">VLOOKUP(B274,Tabela4[],2,FALSE())</f>
        <v>Média</v>
      </c>
      <c r="D274" s="5" t="str">
        <f aca="false">VLOOKUP(B274,Tabela4[],3,FALSE())</f>
        <v>Rio Grande do Sul</v>
      </c>
      <c r="E274" s="2" t="s">
        <v>11</v>
      </c>
      <c r="F274" s="6" t="n">
        <f aca="false">VLOOKUP($K274,'FATURAMENTO '!$A$2:$E$302,4,FALSE())</f>
        <v>22830</v>
      </c>
      <c r="G274" s="6" t="n">
        <f aca="false">VLOOKUP($K274,'FATURAMENTO '!$A$2:$E$302,5,FALSE())</f>
        <v>15899.88</v>
      </c>
      <c r="H274" s="1" t="str">
        <f aca="false">VLOOKUP($K274,CHURN!$A$2:$E$302,4,FALSE())</f>
        <v>Ativo</v>
      </c>
      <c r="I274" s="7" t="n">
        <f aca="false">(F274-G274)/F274</f>
        <v>0.303553219448095</v>
      </c>
      <c r="J274" s="1" t="str">
        <f aca="false">IF(INDEX($I$3:$I$302,MATCH(B274,$B$3:$B$302,0))&gt;50%,"Alto valor",IF(INDEX($I$3:$I$302,MATCH(B274,$B$3:$B$302,0))&gt;=30%,"Médio valor","Baixo valor"))</f>
        <v>Médio valor</v>
      </c>
      <c r="K274" s="0" t="str">
        <f aca="false">CONCATENATE(B274,E274)</f>
        <v>AT2025-01</v>
      </c>
      <c r="L274" s="1"/>
    </row>
    <row r="275" customFormat="false" ht="14.25" hidden="false" customHeight="false" outlineLevel="0" collapsed="false">
      <c r="B275" s="1" t="s">
        <v>60</v>
      </c>
      <c r="C275" s="1" t="str">
        <f aca="false">VLOOKUP(B275,Tabela4[],2,FALSE())</f>
        <v>Média</v>
      </c>
      <c r="D275" s="5" t="str">
        <f aca="false">VLOOKUP(B275,Tabela4[],3,FALSE())</f>
        <v>Rio Grande do Sul</v>
      </c>
      <c r="E275" s="2" t="s">
        <v>12</v>
      </c>
      <c r="F275" s="6" t="n">
        <f aca="false">VLOOKUP($K275,'FATURAMENTO '!$A$2:$E$302,4,FALSE())</f>
        <v>14502</v>
      </c>
      <c r="G275" s="6" t="n">
        <f aca="false">VLOOKUP($K275,'FATURAMENTO '!$A$2:$E$302,5,FALSE())</f>
        <v>8504.81</v>
      </c>
      <c r="H275" s="1" t="str">
        <f aca="false">VLOOKUP($K275,CHURN!$A$2:$E$302,4,FALSE())</f>
        <v>Ativo</v>
      </c>
      <c r="I275" s="7" t="n">
        <f aca="false">(F275-G275)/F275</f>
        <v>0.41354227003172</v>
      </c>
      <c r="J275" s="1" t="str">
        <f aca="false">IF(INDEX($I$3:$I$302,MATCH(B275,$B$3:$B$302,0))&gt;50%,"Alto valor",IF(INDEX($I$3:$I$302,MATCH(B275,$B$3:$B$302,0))&gt;=30%,"Médio valor","Baixo valor"))</f>
        <v>Médio valor</v>
      </c>
      <c r="K275" s="0" t="str">
        <f aca="false">CONCATENATE(B275,E275)</f>
        <v>AT2025-02</v>
      </c>
      <c r="L275" s="1"/>
    </row>
    <row r="276" customFormat="false" ht="14.25" hidden="false" customHeight="false" outlineLevel="0" collapsed="false">
      <c r="B276" s="1" t="s">
        <v>60</v>
      </c>
      <c r="C276" s="1" t="str">
        <f aca="false">VLOOKUP(B276,Tabela4[],2,FALSE())</f>
        <v>Média</v>
      </c>
      <c r="D276" s="5" t="str">
        <f aca="false">VLOOKUP(B276,Tabela4[],3,FALSE())</f>
        <v>Rio Grande do Sul</v>
      </c>
      <c r="E276" s="2" t="s">
        <v>13</v>
      </c>
      <c r="F276" s="6" t="n">
        <f aca="false">VLOOKUP($K276,'FATURAMENTO '!$A$2:$E$302,4,FALSE())</f>
        <v>18401</v>
      </c>
      <c r="G276" s="6" t="n">
        <f aca="false">VLOOKUP($K276,'FATURAMENTO '!$A$2:$E$302,5,FALSE())</f>
        <v>14365.3</v>
      </c>
      <c r="H276" s="1" t="str">
        <f aca="false">VLOOKUP($K276,CHURN!$A$2:$E$302,4,FALSE())</f>
        <v>Ativo</v>
      </c>
      <c r="I276" s="7" t="n">
        <f aca="false">(F276-G276)/F276</f>
        <v>0.219319602195533</v>
      </c>
      <c r="J276" s="1" t="str">
        <f aca="false">IF(INDEX($I$3:$I$302,MATCH(B276,$B$3:$B$302,0))&gt;50%,"Alto valor",IF(INDEX($I$3:$I$302,MATCH(B276,$B$3:$B$302,0))&gt;=30%,"Médio valor","Baixo valor"))</f>
        <v>Médio valor</v>
      </c>
      <c r="K276" s="0" t="str">
        <f aca="false">CONCATENATE(B276,E276)</f>
        <v>AT2025-03</v>
      </c>
      <c r="L276" s="1"/>
    </row>
    <row r="277" customFormat="false" ht="14.25" hidden="false" customHeight="false" outlineLevel="0" collapsed="false">
      <c r="B277" s="1" t="s">
        <v>60</v>
      </c>
      <c r="C277" s="1" t="str">
        <f aca="false">VLOOKUP(B277,Tabela4[],2,FALSE())</f>
        <v>Média</v>
      </c>
      <c r="D277" s="5" t="str">
        <f aca="false">VLOOKUP(B277,Tabela4[],3,FALSE())</f>
        <v>Rio Grande do Sul</v>
      </c>
      <c r="E277" s="2" t="s">
        <v>14</v>
      </c>
      <c r="F277" s="6" t="n">
        <f aca="false">VLOOKUP($K277,'FATURAMENTO '!$A$2:$E$302,4,FALSE())</f>
        <v>28430</v>
      </c>
      <c r="G277" s="6" t="n">
        <f aca="false">VLOOKUP($K277,'FATURAMENTO '!$A$2:$E$302,5,FALSE())</f>
        <v>18025.03</v>
      </c>
      <c r="H277" s="1" t="str">
        <f aca="false">VLOOKUP($K277,CHURN!$A$2:$E$302,4,FALSE())</f>
        <v>Ativo</v>
      </c>
      <c r="I277" s="7" t="n">
        <f aca="false">(F277-G277)/F277</f>
        <v>0.36598557861414</v>
      </c>
      <c r="J277" s="1" t="str">
        <f aca="false">IF(INDEX($I$3:$I$302,MATCH(B277,$B$3:$B$302,0))&gt;50%,"Alto valor",IF(INDEX($I$3:$I$302,MATCH(B277,$B$3:$B$302,0))&gt;=30%,"Médio valor","Baixo valor"))</f>
        <v>Médio valor</v>
      </c>
      <c r="K277" s="0" t="str">
        <f aca="false">CONCATENATE(B277,E277)</f>
        <v>AT2025-04</v>
      </c>
      <c r="L277" s="1"/>
    </row>
    <row r="278" customFormat="false" ht="14.25" hidden="false" customHeight="false" outlineLevel="0" collapsed="false">
      <c r="B278" s="1" t="s">
        <v>60</v>
      </c>
      <c r="C278" s="1" t="str">
        <f aca="false">VLOOKUP(B278,Tabela4[],2,FALSE())</f>
        <v>Média</v>
      </c>
      <c r="D278" s="5" t="str">
        <f aca="false">VLOOKUP(B278,Tabela4[],3,FALSE())</f>
        <v>Rio Grande do Sul</v>
      </c>
      <c r="E278" s="2" t="s">
        <v>15</v>
      </c>
      <c r="F278" s="6" t="n">
        <f aca="false">VLOOKUP($K278,'FATURAMENTO '!$A$2:$E$302,4,FALSE())</f>
        <v>48041</v>
      </c>
      <c r="G278" s="6" t="n">
        <f aca="false">VLOOKUP($K278,'FATURAMENTO '!$A$2:$E$302,5,FALSE())</f>
        <v>34255.05</v>
      </c>
      <c r="H278" s="1" t="str">
        <f aca="false">VLOOKUP($K278,CHURN!$A$2:$E$302,4,FALSE())</f>
        <v>Ativo</v>
      </c>
      <c r="I278" s="7" t="n">
        <f aca="false">(F278-G278)/F278</f>
        <v>0.286962178139506</v>
      </c>
      <c r="J278" s="1" t="str">
        <f aca="false">IF(INDEX($I$3:$I$302,MATCH(B278,$B$3:$B$302,0))&gt;50%,"Alto valor",IF(INDEX($I$3:$I$302,MATCH(B278,$B$3:$B$302,0))&gt;=30%,"Médio valor","Baixo valor"))</f>
        <v>Médio valor</v>
      </c>
      <c r="K278" s="0" t="str">
        <f aca="false">CONCATENATE(B278,E278)</f>
        <v>AT2025-05</v>
      </c>
      <c r="L278" s="1"/>
    </row>
    <row r="279" customFormat="false" ht="14.25" hidden="false" customHeight="false" outlineLevel="0" collapsed="false">
      <c r="B279" s="1" t="s">
        <v>61</v>
      </c>
      <c r="C279" s="1" t="str">
        <f aca="false">VLOOKUP(B279,Tabela4[],2,FALSE())</f>
        <v>Grande</v>
      </c>
      <c r="D279" s="5" t="str">
        <f aca="false">VLOOKUP(B279,Tabela4[],3,FALSE())</f>
        <v>Ceará</v>
      </c>
      <c r="E279" s="2" t="s">
        <v>10</v>
      </c>
      <c r="F279" s="6" t="n">
        <f aca="false">VLOOKUP($K279,'FATURAMENTO '!$A$2:$E$302,4,FALSE())</f>
        <v>17706</v>
      </c>
      <c r="G279" s="6" t="n">
        <f aca="false">VLOOKUP($K279,'FATURAMENTO '!$A$2:$E$302,5,FALSE())</f>
        <v>9334.02</v>
      </c>
      <c r="H279" s="1" t="str">
        <f aca="false">VLOOKUP($K279,CHURN!$A$2:$E$302,4,FALSE())</f>
        <v>Ativo</v>
      </c>
      <c r="I279" s="7" t="n">
        <f aca="false">(F279-G279)/F279</f>
        <v>0.472832937987123</v>
      </c>
      <c r="J279" s="1" t="str">
        <f aca="false">IF(INDEX($I$3:$I$302,MATCH(B279,$B$3:$B$302,0))&gt;50%,"Alto valor",IF(INDEX($I$3:$I$302,MATCH(B279,$B$3:$B$302,0))&gt;=30%,"Médio valor","Baixo valor"))</f>
        <v>Médio valor</v>
      </c>
      <c r="K279" s="0" t="str">
        <f aca="false">CONCATENATE(B279,E279)</f>
        <v>AU2024-12</v>
      </c>
      <c r="L279" s="1"/>
    </row>
    <row r="280" customFormat="false" ht="14.25" hidden="false" customHeight="false" outlineLevel="0" collapsed="false">
      <c r="B280" s="1" t="s">
        <v>61</v>
      </c>
      <c r="C280" s="1" t="str">
        <f aca="false">VLOOKUP(B280,Tabela4[],2,FALSE())</f>
        <v>Grande</v>
      </c>
      <c r="D280" s="5" t="str">
        <f aca="false">VLOOKUP(B280,Tabela4[],3,FALSE())</f>
        <v>Ceará</v>
      </c>
      <c r="E280" s="2" t="s">
        <v>11</v>
      </c>
      <c r="F280" s="6" t="n">
        <f aca="false">VLOOKUP($K280,'FATURAMENTO '!$A$2:$E$302,4,FALSE())</f>
        <v>10860</v>
      </c>
      <c r="G280" s="6" t="n">
        <f aca="false">VLOOKUP($K280,'FATURAMENTO '!$A$2:$E$302,5,FALSE())</f>
        <v>6655.81</v>
      </c>
      <c r="H280" s="1" t="str">
        <f aca="false">VLOOKUP($K280,CHURN!$A$2:$E$302,4,FALSE())</f>
        <v>Ativo</v>
      </c>
      <c r="I280" s="7" t="n">
        <f aca="false">(F280-G280)/F280</f>
        <v>0.387126151012891</v>
      </c>
      <c r="J280" s="1" t="str">
        <f aca="false">IF(INDEX($I$3:$I$302,MATCH(B280,$B$3:$B$302,0))&gt;50%,"Alto valor",IF(INDEX($I$3:$I$302,MATCH(B280,$B$3:$B$302,0))&gt;=30%,"Médio valor","Baixo valor"))</f>
        <v>Médio valor</v>
      </c>
      <c r="K280" s="0" t="str">
        <f aca="false">CONCATENATE(B280,E280)</f>
        <v>AU2025-01</v>
      </c>
      <c r="L280" s="1"/>
    </row>
    <row r="281" customFormat="false" ht="14.25" hidden="false" customHeight="false" outlineLevel="0" collapsed="false">
      <c r="B281" s="1" t="s">
        <v>61</v>
      </c>
      <c r="C281" s="1" t="str">
        <f aca="false">VLOOKUP(B281,Tabela4[],2,FALSE())</f>
        <v>Grande</v>
      </c>
      <c r="D281" s="5" t="str">
        <f aca="false">VLOOKUP(B281,Tabela4[],3,FALSE())</f>
        <v>Ceará</v>
      </c>
      <c r="E281" s="2" t="s">
        <v>12</v>
      </c>
      <c r="F281" s="6" t="n">
        <f aca="false">VLOOKUP($K281,'FATURAMENTO '!$A$2:$E$302,4,FALSE())</f>
        <v>34348</v>
      </c>
      <c r="G281" s="6" t="n">
        <f aca="false">VLOOKUP($K281,'FATURAMENTO '!$A$2:$E$302,5,FALSE())</f>
        <v>18815.19</v>
      </c>
      <c r="H281" s="1" t="str">
        <f aca="false">VLOOKUP($K281,CHURN!$A$2:$E$302,4,FALSE())</f>
        <v>Ativo</v>
      </c>
      <c r="I281" s="7" t="n">
        <f aca="false">(F281-G281)/F281</f>
        <v>0.452218760917666</v>
      </c>
      <c r="J281" s="1" t="str">
        <f aca="false">IF(INDEX($I$3:$I$302,MATCH(B281,$B$3:$B$302,0))&gt;50%,"Alto valor",IF(INDEX($I$3:$I$302,MATCH(B281,$B$3:$B$302,0))&gt;=30%,"Médio valor","Baixo valor"))</f>
        <v>Médio valor</v>
      </c>
      <c r="K281" s="0" t="str">
        <f aca="false">CONCATENATE(B281,E281)</f>
        <v>AU2025-02</v>
      </c>
      <c r="L281" s="1"/>
    </row>
    <row r="282" customFormat="false" ht="14.25" hidden="false" customHeight="false" outlineLevel="0" collapsed="false">
      <c r="B282" s="1" t="s">
        <v>61</v>
      </c>
      <c r="C282" s="1" t="str">
        <f aca="false">VLOOKUP(B282,Tabela4[],2,FALSE())</f>
        <v>Grande</v>
      </c>
      <c r="D282" s="5" t="str">
        <f aca="false">VLOOKUP(B282,Tabela4[],3,FALSE())</f>
        <v>Ceará</v>
      </c>
      <c r="E282" s="2" t="s">
        <v>13</v>
      </c>
      <c r="F282" s="6" t="n">
        <f aca="false">VLOOKUP($K282,'FATURAMENTO '!$A$2:$E$302,4,FALSE())</f>
        <v>7197</v>
      </c>
      <c r="G282" s="6" t="n">
        <f aca="false">VLOOKUP($K282,'FATURAMENTO '!$A$2:$E$302,5,FALSE())</f>
        <v>3800.67</v>
      </c>
      <c r="H282" s="1" t="str">
        <f aca="false">VLOOKUP($K282,CHURN!$A$2:$E$302,4,FALSE())</f>
        <v>Ativo</v>
      </c>
      <c r="I282" s="7" t="n">
        <f aca="false">(F282-G282)/F282</f>
        <v>0.471909128803668</v>
      </c>
      <c r="J282" s="1" t="str">
        <f aca="false">IF(INDEX($I$3:$I$302,MATCH(B282,$B$3:$B$302,0))&gt;50%,"Alto valor",IF(INDEX($I$3:$I$302,MATCH(B282,$B$3:$B$302,0))&gt;=30%,"Médio valor","Baixo valor"))</f>
        <v>Médio valor</v>
      </c>
      <c r="K282" s="0" t="str">
        <f aca="false">CONCATENATE(B282,E282)</f>
        <v>AU2025-03</v>
      </c>
      <c r="L282" s="1"/>
    </row>
    <row r="283" customFormat="false" ht="14.25" hidden="false" customHeight="false" outlineLevel="0" collapsed="false">
      <c r="B283" s="1" t="s">
        <v>61</v>
      </c>
      <c r="C283" s="1" t="str">
        <f aca="false">VLOOKUP(B283,Tabela4[],2,FALSE())</f>
        <v>Grande</v>
      </c>
      <c r="D283" s="5" t="str">
        <f aca="false">VLOOKUP(B283,Tabela4[],3,FALSE())</f>
        <v>Ceará</v>
      </c>
      <c r="E283" s="2" t="s">
        <v>14</v>
      </c>
      <c r="F283" s="6" t="n">
        <f aca="false">VLOOKUP($K283,'FATURAMENTO '!$A$2:$E$302,4,FALSE())</f>
        <v>28447</v>
      </c>
      <c r="G283" s="6" t="n">
        <f aca="false">VLOOKUP($K283,'FATURAMENTO '!$A$2:$E$302,5,FALSE())</f>
        <v>15127.73</v>
      </c>
      <c r="H283" s="1" t="str">
        <f aca="false">VLOOKUP($K283,CHURN!$A$2:$E$302,4,FALSE())</f>
        <v>Ativo</v>
      </c>
      <c r="I283" s="7" t="n">
        <f aca="false">(F283-G283)/F283</f>
        <v>0.468213519879073</v>
      </c>
      <c r="J283" s="1" t="str">
        <f aca="false">IF(INDEX($I$3:$I$302,MATCH(B283,$B$3:$B$302,0))&gt;50%,"Alto valor",IF(INDEX($I$3:$I$302,MATCH(B283,$B$3:$B$302,0))&gt;=30%,"Médio valor","Baixo valor"))</f>
        <v>Médio valor</v>
      </c>
      <c r="K283" s="0" t="str">
        <f aca="false">CONCATENATE(B283,E283)</f>
        <v>AU2025-04</v>
      </c>
      <c r="L283" s="1"/>
    </row>
    <row r="284" customFormat="false" ht="14.25" hidden="false" customHeight="false" outlineLevel="0" collapsed="false">
      <c r="B284" s="1" t="s">
        <v>61</v>
      </c>
      <c r="C284" s="1" t="str">
        <f aca="false">VLOOKUP(B284,Tabela4[],2,FALSE())</f>
        <v>Grande</v>
      </c>
      <c r="D284" s="5" t="str">
        <f aca="false">VLOOKUP(B284,Tabela4[],3,FALSE())</f>
        <v>Ceará</v>
      </c>
      <c r="E284" s="2" t="s">
        <v>15</v>
      </c>
      <c r="F284" s="6" t="n">
        <f aca="false">VLOOKUP($K284,'FATURAMENTO '!$A$2:$E$302,4,FALSE())</f>
        <v>8571</v>
      </c>
      <c r="G284" s="6" t="n">
        <f aca="false">VLOOKUP($K284,'FATURAMENTO '!$A$2:$E$302,5,FALSE())</f>
        <v>5522.46</v>
      </c>
      <c r="H284" s="1" t="str">
        <f aca="false">VLOOKUP($K284,CHURN!$A$2:$E$302,4,FALSE())</f>
        <v>Ativo</v>
      </c>
      <c r="I284" s="7" t="n">
        <f aca="false">(F284-G284)/F284</f>
        <v>0.355680784039202</v>
      </c>
      <c r="J284" s="1" t="str">
        <f aca="false">IF(INDEX($I$3:$I$302,MATCH(B284,$B$3:$B$302,0))&gt;50%,"Alto valor",IF(INDEX($I$3:$I$302,MATCH(B284,$B$3:$B$302,0))&gt;=30%,"Médio valor","Baixo valor"))</f>
        <v>Médio valor</v>
      </c>
      <c r="K284" s="0" t="str">
        <f aca="false">CONCATENATE(B284,E284)</f>
        <v>AU2025-05</v>
      </c>
      <c r="L284" s="1"/>
    </row>
    <row r="285" customFormat="false" ht="14.25" hidden="false" customHeight="false" outlineLevel="0" collapsed="false">
      <c r="B285" s="1" t="s">
        <v>62</v>
      </c>
      <c r="C285" s="1" t="str">
        <f aca="false">VLOOKUP(B285,Tabela4[],2,FALSE())</f>
        <v>Média</v>
      </c>
      <c r="D285" s="5" t="str">
        <f aca="false">VLOOKUP(B285,Tabela4[],3,FALSE())</f>
        <v>Distrito Federal</v>
      </c>
      <c r="E285" s="2" t="s">
        <v>10</v>
      </c>
      <c r="F285" s="6" t="n">
        <f aca="false">VLOOKUP($K285,'FATURAMENTO '!$A$2:$E$302,4,FALSE())</f>
        <v>21985</v>
      </c>
      <c r="G285" s="6" t="n">
        <f aca="false">VLOOKUP($K285,'FATURAMENTO '!$A$2:$E$302,5,FALSE())</f>
        <v>15873.3</v>
      </c>
      <c r="H285" s="1" t="str">
        <f aca="false">VLOOKUP($K285,CHURN!$A$2:$E$302,4,FALSE())</f>
        <v>Ativo</v>
      </c>
      <c r="I285" s="7" t="n">
        <f aca="false">(F285-G285)/F285</f>
        <v>0.277994086877416</v>
      </c>
      <c r="J285" s="1" t="str">
        <f aca="false">IF(INDEX($I$3:$I$302,MATCH(B285,$B$3:$B$302,0))&gt;50%,"Alto valor",IF(INDEX($I$3:$I$302,MATCH(B285,$B$3:$B$302,0))&gt;=30%,"Médio valor","Baixo valor"))</f>
        <v>Baixo valor</v>
      </c>
      <c r="K285" s="0" t="str">
        <f aca="false">CONCATENATE(B285,E285)</f>
        <v>AV2024-12</v>
      </c>
      <c r="L285" s="1"/>
    </row>
    <row r="286" customFormat="false" ht="14.25" hidden="false" customHeight="false" outlineLevel="0" collapsed="false">
      <c r="B286" s="1" t="s">
        <v>62</v>
      </c>
      <c r="C286" s="1" t="str">
        <f aca="false">VLOOKUP(B286,Tabela4[],2,FALSE())</f>
        <v>Média</v>
      </c>
      <c r="D286" s="5" t="str">
        <f aca="false">VLOOKUP(B286,Tabela4[],3,FALSE())</f>
        <v>Distrito Federal</v>
      </c>
      <c r="E286" s="2" t="s">
        <v>11</v>
      </c>
      <c r="F286" s="6" t="n">
        <f aca="false">VLOOKUP($K286,'FATURAMENTO '!$A$2:$E$302,4,FALSE())</f>
        <v>25487</v>
      </c>
      <c r="G286" s="6" t="n">
        <f aca="false">VLOOKUP($K286,'FATURAMENTO '!$A$2:$E$302,5,FALSE())</f>
        <v>19713.95</v>
      </c>
      <c r="H286" s="1" t="str">
        <f aca="false">VLOOKUP($K286,CHURN!$A$2:$E$302,4,FALSE())</f>
        <v>Ativo</v>
      </c>
      <c r="I286" s="7" t="n">
        <f aca="false">(F286-G286)/F286</f>
        <v>0.226509593125907</v>
      </c>
      <c r="J286" s="1" t="str">
        <f aca="false">IF(INDEX($I$3:$I$302,MATCH(B286,$B$3:$B$302,0))&gt;50%,"Alto valor",IF(INDEX($I$3:$I$302,MATCH(B286,$B$3:$B$302,0))&gt;=30%,"Médio valor","Baixo valor"))</f>
        <v>Baixo valor</v>
      </c>
      <c r="K286" s="0" t="str">
        <f aca="false">CONCATENATE(B286,E286)</f>
        <v>AV2025-01</v>
      </c>
      <c r="L286" s="1"/>
    </row>
    <row r="287" customFormat="false" ht="14.25" hidden="false" customHeight="false" outlineLevel="0" collapsed="false">
      <c r="B287" s="1" t="s">
        <v>62</v>
      </c>
      <c r="C287" s="1" t="str">
        <f aca="false">VLOOKUP(B287,Tabela4[],2,FALSE())</f>
        <v>Média</v>
      </c>
      <c r="D287" s="5" t="str">
        <f aca="false">VLOOKUP(B287,Tabela4[],3,FALSE())</f>
        <v>Distrito Federal</v>
      </c>
      <c r="E287" s="2" t="s">
        <v>12</v>
      </c>
      <c r="F287" s="6" t="n">
        <f aca="false">VLOOKUP($K287,'FATURAMENTO '!$A$2:$E$302,4,FALSE())</f>
        <v>8131</v>
      </c>
      <c r="G287" s="6" t="n">
        <f aca="false">VLOOKUP($K287,'FATURAMENTO '!$A$2:$E$302,5,FALSE())</f>
        <v>5653</v>
      </c>
      <c r="H287" s="1" t="str">
        <f aca="false">VLOOKUP($K287,CHURN!$A$2:$E$302,4,FALSE())</f>
        <v>Ativo</v>
      </c>
      <c r="I287" s="7" t="n">
        <f aca="false">(F287-G287)/F287</f>
        <v>0.304759562169475</v>
      </c>
      <c r="J287" s="1" t="str">
        <f aca="false">IF(INDEX($I$3:$I$302,MATCH(B287,$B$3:$B$302,0))&gt;50%,"Alto valor",IF(INDEX($I$3:$I$302,MATCH(B287,$B$3:$B$302,0))&gt;=30%,"Médio valor","Baixo valor"))</f>
        <v>Baixo valor</v>
      </c>
      <c r="K287" s="0" t="str">
        <f aca="false">CONCATENATE(B287,E287)</f>
        <v>AV2025-02</v>
      </c>
      <c r="L287" s="1"/>
    </row>
    <row r="288" customFormat="false" ht="14.25" hidden="false" customHeight="false" outlineLevel="0" collapsed="false">
      <c r="B288" s="1" t="s">
        <v>62</v>
      </c>
      <c r="C288" s="1" t="str">
        <f aca="false">VLOOKUP(B288,Tabela4[],2,FALSE())</f>
        <v>Média</v>
      </c>
      <c r="D288" s="5" t="str">
        <f aca="false">VLOOKUP(B288,Tabela4[],3,FALSE())</f>
        <v>Distrito Federal</v>
      </c>
      <c r="E288" s="2" t="s">
        <v>13</v>
      </c>
      <c r="F288" s="6" t="n">
        <f aca="false">VLOOKUP($K288,'FATURAMENTO '!$A$2:$E$302,4,FALSE())</f>
        <v>17900</v>
      </c>
      <c r="G288" s="6" t="n">
        <f aca="false">VLOOKUP($K288,'FATURAMENTO '!$A$2:$E$302,5,FALSE())</f>
        <v>13087.75</v>
      </c>
      <c r="H288" s="1" t="str">
        <f aca="false">VLOOKUP($K288,CHURN!$A$2:$E$302,4,FALSE())</f>
        <v>Ativo</v>
      </c>
      <c r="I288" s="7" t="n">
        <f aca="false">(F288-G288)/F288</f>
        <v>0.268840782122905</v>
      </c>
      <c r="J288" s="1" t="str">
        <f aca="false">IF(INDEX($I$3:$I$302,MATCH(B288,$B$3:$B$302,0))&gt;50%,"Alto valor",IF(INDEX($I$3:$I$302,MATCH(B288,$B$3:$B$302,0))&gt;=30%,"Médio valor","Baixo valor"))</f>
        <v>Baixo valor</v>
      </c>
      <c r="K288" s="0" t="str">
        <f aca="false">CONCATENATE(B288,E288)</f>
        <v>AV2025-03</v>
      </c>
      <c r="L288" s="1"/>
    </row>
    <row r="289" customFormat="false" ht="14.25" hidden="false" customHeight="false" outlineLevel="0" collapsed="false">
      <c r="B289" s="1" t="s">
        <v>62</v>
      </c>
      <c r="C289" s="1" t="str">
        <f aca="false">VLOOKUP(B289,Tabela4[],2,FALSE())</f>
        <v>Média</v>
      </c>
      <c r="D289" s="5" t="str">
        <f aca="false">VLOOKUP(B289,Tabela4[],3,FALSE())</f>
        <v>Distrito Federal</v>
      </c>
      <c r="E289" s="2" t="s">
        <v>14</v>
      </c>
      <c r="F289" s="6" t="n">
        <f aca="false">VLOOKUP($K289,'FATURAMENTO '!$A$2:$E$302,4,FALSE())</f>
        <v>48114</v>
      </c>
      <c r="G289" s="6" t="n">
        <f aca="false">VLOOKUP($K289,'FATURAMENTO '!$A$2:$E$302,5,FALSE())</f>
        <v>29107.4</v>
      </c>
      <c r="H289" s="1" t="str">
        <f aca="false">VLOOKUP($K289,CHURN!$A$2:$E$302,4,FALSE())</f>
        <v>Ativo</v>
      </c>
      <c r="I289" s="7" t="n">
        <f aca="false">(F289-G289)/F289</f>
        <v>0.3950326308351</v>
      </c>
      <c r="J289" s="1" t="str">
        <f aca="false">IF(INDEX($I$3:$I$302,MATCH(B289,$B$3:$B$302,0))&gt;50%,"Alto valor",IF(INDEX($I$3:$I$302,MATCH(B289,$B$3:$B$302,0))&gt;=30%,"Médio valor","Baixo valor"))</f>
        <v>Baixo valor</v>
      </c>
      <c r="K289" s="0" t="str">
        <f aca="false">CONCATENATE(B289,E289)</f>
        <v>AV2025-04</v>
      </c>
      <c r="L289" s="1"/>
    </row>
    <row r="290" customFormat="false" ht="14.25" hidden="false" customHeight="false" outlineLevel="0" collapsed="false">
      <c r="B290" s="1" t="s">
        <v>62</v>
      </c>
      <c r="C290" s="1" t="str">
        <f aca="false">VLOOKUP(B290,Tabela4[],2,FALSE())</f>
        <v>Média</v>
      </c>
      <c r="D290" s="5" t="str">
        <f aca="false">VLOOKUP(B290,Tabela4[],3,FALSE())</f>
        <v>Distrito Federal</v>
      </c>
      <c r="E290" s="2" t="s">
        <v>15</v>
      </c>
      <c r="F290" s="6" t="n">
        <f aca="false">VLOOKUP($K290,'FATURAMENTO '!$A$2:$E$302,4,FALSE())</f>
        <v>38836</v>
      </c>
      <c r="G290" s="6" t="n">
        <f aca="false">VLOOKUP($K290,'FATURAMENTO '!$A$2:$E$302,5,FALSE())</f>
        <v>24110.84</v>
      </c>
      <c r="H290" s="1" t="str">
        <f aca="false">VLOOKUP($K290,CHURN!$A$2:$E$302,4,FALSE())</f>
        <v>Cancelado</v>
      </c>
      <c r="I290" s="7" t="n">
        <f aca="false">(F290-G290)/F290</f>
        <v>0.37916263260892</v>
      </c>
      <c r="J290" s="1" t="str">
        <f aca="false">IF(INDEX($I$3:$I$302,MATCH(B290,$B$3:$B$302,0))&gt;50%,"Alto valor",IF(INDEX($I$3:$I$302,MATCH(B290,$B$3:$B$302,0))&gt;=30%,"Médio valor","Baixo valor"))</f>
        <v>Baixo valor</v>
      </c>
      <c r="K290" s="0" t="str">
        <f aca="false">CONCATENATE(B290,E290)</f>
        <v>AV2025-05</v>
      </c>
      <c r="L290" s="1"/>
    </row>
    <row r="291" customFormat="false" ht="14.25" hidden="false" customHeight="false" outlineLevel="0" collapsed="false">
      <c r="B291" s="1" t="s">
        <v>63</v>
      </c>
      <c r="C291" s="1" t="str">
        <f aca="false">VLOOKUP(B291,Tabela4[],2,FALSE())</f>
        <v>Grande</v>
      </c>
      <c r="D291" s="5" t="str">
        <f aca="false">VLOOKUP(B291,Tabela4[],3,FALSE())</f>
        <v>Santa Catarina</v>
      </c>
      <c r="E291" s="2" t="s">
        <v>10</v>
      </c>
      <c r="F291" s="6" t="n">
        <f aca="false">VLOOKUP($K291,'FATURAMENTO '!$A$2:$E$302,4,FALSE())</f>
        <v>3968</v>
      </c>
      <c r="G291" s="6" t="n">
        <f aca="false">VLOOKUP($K291,'FATURAMENTO '!$A$2:$E$302,5,FALSE())</f>
        <v>2463.09</v>
      </c>
      <c r="H291" s="1" t="str">
        <f aca="false">VLOOKUP($K291,CHURN!$A$2:$E$302,4,FALSE())</f>
        <v>Ativo</v>
      </c>
      <c r="I291" s="7" t="n">
        <f aca="false">(F291-G291)/F291</f>
        <v>0.379261592741935</v>
      </c>
      <c r="J291" s="1" t="str">
        <f aca="false">IF(INDEX($I$3:$I$302,MATCH(B291,$B$3:$B$302,0))&gt;50%,"Alto valor",IF(INDEX($I$3:$I$302,MATCH(B291,$B$3:$B$302,0))&gt;=30%,"Médio valor","Baixo valor"))</f>
        <v>Médio valor</v>
      </c>
      <c r="K291" s="0" t="str">
        <f aca="false">CONCATENATE(B291,E291)</f>
        <v>AX2024-12</v>
      </c>
      <c r="L291" s="1"/>
    </row>
    <row r="292" customFormat="false" ht="14.25" hidden="false" customHeight="false" outlineLevel="0" collapsed="false">
      <c r="B292" s="1" t="s">
        <v>63</v>
      </c>
      <c r="C292" s="1" t="str">
        <f aca="false">VLOOKUP(B292,Tabela4[],2,FALSE())</f>
        <v>Grande</v>
      </c>
      <c r="D292" s="5" t="str">
        <f aca="false">VLOOKUP(B292,Tabela4[],3,FALSE())</f>
        <v>Santa Catarina</v>
      </c>
      <c r="E292" s="2" t="s">
        <v>11</v>
      </c>
      <c r="F292" s="6" t="n">
        <f aca="false">VLOOKUP($K292,'FATURAMENTO '!$A$2:$E$302,4,FALSE())</f>
        <v>31885</v>
      </c>
      <c r="G292" s="6" t="n">
        <f aca="false">VLOOKUP($K292,'FATURAMENTO '!$A$2:$E$302,5,FALSE())</f>
        <v>22202.95</v>
      </c>
      <c r="H292" s="1" t="str">
        <f aca="false">VLOOKUP($K292,CHURN!$A$2:$E$302,4,FALSE())</f>
        <v>Ativo</v>
      </c>
      <c r="I292" s="7" t="n">
        <f aca="false">(F292-G292)/F292</f>
        <v>0.303655323819978</v>
      </c>
      <c r="J292" s="1" t="str">
        <f aca="false">IF(INDEX($I$3:$I$302,MATCH(B292,$B$3:$B$302,0))&gt;50%,"Alto valor",IF(INDEX($I$3:$I$302,MATCH(B292,$B$3:$B$302,0))&gt;=30%,"Médio valor","Baixo valor"))</f>
        <v>Médio valor</v>
      </c>
      <c r="K292" s="0" t="str">
        <f aca="false">CONCATENATE(B292,E292)</f>
        <v>AX2025-01</v>
      </c>
      <c r="L292" s="1"/>
    </row>
    <row r="293" customFormat="false" ht="14.25" hidden="false" customHeight="false" outlineLevel="0" collapsed="false">
      <c r="B293" s="1" t="s">
        <v>63</v>
      </c>
      <c r="C293" s="1" t="str">
        <f aca="false">VLOOKUP(B293,Tabela4[],2,FALSE())</f>
        <v>Grande</v>
      </c>
      <c r="D293" s="5" t="str">
        <f aca="false">VLOOKUP(B293,Tabela4[],3,FALSE())</f>
        <v>Santa Catarina</v>
      </c>
      <c r="E293" s="2" t="s">
        <v>12</v>
      </c>
      <c r="F293" s="6" t="n">
        <f aca="false">VLOOKUP($K293,'FATURAMENTO '!$A$2:$E$302,4,FALSE())</f>
        <v>8973</v>
      </c>
      <c r="G293" s="6" t="n">
        <f aca="false">VLOOKUP($K293,'FATURAMENTO '!$A$2:$E$302,5,FALSE())</f>
        <v>5141.21</v>
      </c>
      <c r="H293" s="1" t="str">
        <f aca="false">VLOOKUP($K293,CHURN!$A$2:$E$302,4,FALSE())</f>
        <v>Ativo</v>
      </c>
      <c r="I293" s="7" t="n">
        <f aca="false">(F293-G293)/F293</f>
        <v>0.427035551097738</v>
      </c>
      <c r="J293" s="1" t="str">
        <f aca="false">IF(INDEX($I$3:$I$302,MATCH(B293,$B$3:$B$302,0))&gt;50%,"Alto valor",IF(INDEX($I$3:$I$302,MATCH(B293,$B$3:$B$302,0))&gt;=30%,"Médio valor","Baixo valor"))</f>
        <v>Médio valor</v>
      </c>
      <c r="K293" s="0" t="str">
        <f aca="false">CONCATENATE(B293,E293)</f>
        <v>AX2025-02</v>
      </c>
      <c r="L293" s="1"/>
    </row>
    <row r="294" customFormat="false" ht="14.25" hidden="false" customHeight="false" outlineLevel="0" collapsed="false">
      <c r="B294" s="1" t="s">
        <v>63</v>
      </c>
      <c r="C294" s="1" t="str">
        <f aca="false">VLOOKUP(B294,Tabela4[],2,FALSE())</f>
        <v>Grande</v>
      </c>
      <c r="D294" s="5" t="str">
        <f aca="false">VLOOKUP(B294,Tabela4[],3,FALSE())</f>
        <v>Santa Catarina</v>
      </c>
      <c r="E294" s="2" t="s">
        <v>13</v>
      </c>
      <c r="F294" s="6" t="n">
        <f aca="false">VLOOKUP($K294,'FATURAMENTO '!$A$2:$E$302,4,FALSE())</f>
        <v>28907</v>
      </c>
      <c r="G294" s="6" t="n">
        <f aca="false">VLOOKUP($K294,'FATURAMENTO '!$A$2:$E$302,5,FALSE())</f>
        <v>14488.75</v>
      </c>
      <c r="H294" s="1" t="str">
        <f aca="false">VLOOKUP($K294,CHURN!$A$2:$E$302,4,FALSE())</f>
        <v>Ativo</v>
      </c>
      <c r="I294" s="7" t="n">
        <f aca="false">(F294-G294)/F294</f>
        <v>0.498780572179749</v>
      </c>
      <c r="J294" s="1" t="str">
        <f aca="false">IF(INDEX($I$3:$I$302,MATCH(B294,$B$3:$B$302,0))&gt;50%,"Alto valor",IF(INDEX($I$3:$I$302,MATCH(B294,$B$3:$B$302,0))&gt;=30%,"Médio valor","Baixo valor"))</f>
        <v>Médio valor</v>
      </c>
      <c r="K294" s="0" t="str">
        <f aca="false">CONCATENATE(B294,E294)</f>
        <v>AX2025-03</v>
      </c>
      <c r="L294" s="1"/>
    </row>
    <row r="295" customFormat="false" ht="14.25" hidden="false" customHeight="false" outlineLevel="0" collapsed="false">
      <c r="B295" s="1" t="s">
        <v>63</v>
      </c>
      <c r="C295" s="1" t="str">
        <f aca="false">VLOOKUP(B295,Tabela4[],2,FALSE())</f>
        <v>Grande</v>
      </c>
      <c r="D295" s="5" t="str">
        <f aca="false">VLOOKUP(B295,Tabela4[],3,FALSE())</f>
        <v>Santa Catarina</v>
      </c>
      <c r="E295" s="2" t="s">
        <v>14</v>
      </c>
      <c r="F295" s="6" t="n">
        <f aca="false">VLOOKUP($K295,'FATURAMENTO '!$A$2:$E$302,4,FALSE())</f>
        <v>3946</v>
      </c>
      <c r="G295" s="6" t="n">
        <f aca="false">VLOOKUP($K295,'FATURAMENTO '!$A$2:$E$302,5,FALSE())</f>
        <v>1985.3</v>
      </c>
      <c r="H295" s="1" t="str">
        <f aca="false">VLOOKUP($K295,CHURN!$A$2:$E$302,4,FALSE())</f>
        <v>Cancelado</v>
      </c>
      <c r="I295" s="7" t="n">
        <f aca="false">(F295-G295)/F295</f>
        <v>0.496882919412063</v>
      </c>
      <c r="J295" s="1" t="str">
        <f aca="false">IF(INDEX($I$3:$I$302,MATCH(B295,$B$3:$B$302,0))&gt;50%,"Alto valor",IF(INDEX($I$3:$I$302,MATCH(B295,$B$3:$B$302,0))&gt;=30%,"Médio valor","Baixo valor"))</f>
        <v>Médio valor</v>
      </c>
      <c r="K295" s="0" t="str">
        <f aca="false">CONCATENATE(B295,E295)</f>
        <v>AX2025-04</v>
      </c>
      <c r="L295" s="1"/>
    </row>
    <row r="296" customFormat="false" ht="14.25" hidden="false" customHeight="false" outlineLevel="0" collapsed="false">
      <c r="B296" s="1" t="s">
        <v>63</v>
      </c>
      <c r="C296" s="1" t="str">
        <f aca="false">VLOOKUP(B296,Tabela4[],2,FALSE())</f>
        <v>Grande</v>
      </c>
      <c r="D296" s="5" t="str">
        <f aca="false">VLOOKUP(B296,Tabela4[],3,FALSE())</f>
        <v>Santa Catarina</v>
      </c>
      <c r="E296" s="2" t="s">
        <v>15</v>
      </c>
      <c r="F296" s="6" t="n">
        <f aca="false">VLOOKUP($K296,'FATURAMENTO '!$A$2:$E$302,4,FALSE())</f>
        <v>2507</v>
      </c>
      <c r="G296" s="6" t="n">
        <f aca="false">VLOOKUP($K296,'FATURAMENTO '!$A$2:$E$302,5,FALSE())</f>
        <v>1838.73</v>
      </c>
      <c r="H296" s="1" t="str">
        <f aca="false">VLOOKUP($K296,CHURN!$A$2:$E$302,4,FALSE())</f>
        <v>Ativo</v>
      </c>
      <c r="I296" s="7" t="n">
        <f aca="false">(F296-G296)/F296</f>
        <v>0.266561627443159</v>
      </c>
      <c r="J296" s="1" t="str">
        <f aca="false">IF(INDEX($I$3:$I$302,MATCH(B296,$B$3:$B$302,0))&gt;50%,"Alto valor",IF(INDEX($I$3:$I$302,MATCH(B296,$B$3:$B$302,0))&gt;=30%,"Médio valor","Baixo valor"))</f>
        <v>Médio valor</v>
      </c>
      <c r="K296" s="0" t="str">
        <f aca="false">CONCATENATE(B296,E296)</f>
        <v>AX2025-05</v>
      </c>
      <c r="L296" s="1"/>
    </row>
    <row r="297" customFormat="false" ht="14.25" hidden="false" customHeight="false" outlineLevel="0" collapsed="false">
      <c r="B297" s="1" t="s">
        <v>64</v>
      </c>
      <c r="C297" s="1" t="str">
        <f aca="false">VLOOKUP(B297,Tabela4[],2,FALSE())</f>
        <v>Média</v>
      </c>
      <c r="D297" s="5" t="str">
        <f aca="false">VLOOKUP(B297,Tabela4[],3,FALSE())</f>
        <v>Pernambuco</v>
      </c>
      <c r="E297" s="2" t="s">
        <v>10</v>
      </c>
      <c r="F297" s="6" t="n">
        <f aca="false">VLOOKUP($K297,'FATURAMENTO '!$A$2:$E$302,4,FALSE())</f>
        <v>35366</v>
      </c>
      <c r="G297" s="6" t="n">
        <f aca="false">VLOOKUP($K297,'FATURAMENTO '!$A$2:$E$302,5,FALSE())</f>
        <v>22076.74</v>
      </c>
      <c r="H297" s="1" t="str">
        <f aca="false">VLOOKUP($K297,CHURN!$A$2:$E$302,4,FALSE())</f>
        <v>Ativo</v>
      </c>
      <c r="I297" s="7" t="n">
        <f aca="false">(F297-G297)/F297</f>
        <v>0.375763727874229</v>
      </c>
      <c r="J297" s="1" t="str">
        <f aca="false">IF(INDEX($I$3:$I$302,MATCH(B297,$B$3:$B$302,0))&gt;50%,"Alto valor",IF(INDEX($I$3:$I$302,MATCH(B297,$B$3:$B$302,0))&gt;=30%,"Médio valor","Baixo valor"))</f>
        <v>Médio valor</v>
      </c>
      <c r="K297" s="0" t="str">
        <f aca="false">CONCATENATE(B297,E297)</f>
        <v>AW2024-12</v>
      </c>
      <c r="L297" s="1"/>
    </row>
    <row r="298" customFormat="false" ht="14.25" hidden="false" customHeight="false" outlineLevel="0" collapsed="false">
      <c r="B298" s="1" t="s">
        <v>64</v>
      </c>
      <c r="C298" s="1" t="str">
        <f aca="false">VLOOKUP(B298,Tabela4[],2,FALSE())</f>
        <v>Média</v>
      </c>
      <c r="D298" s="5" t="str">
        <f aca="false">VLOOKUP(B298,Tabela4[],3,FALSE())</f>
        <v>Pernambuco</v>
      </c>
      <c r="E298" s="2" t="s">
        <v>11</v>
      </c>
      <c r="F298" s="6" t="n">
        <f aca="false">VLOOKUP($K298,'FATURAMENTO '!$A$2:$E$302,4,FALSE())</f>
        <v>19951</v>
      </c>
      <c r="G298" s="6" t="n">
        <f aca="false">VLOOKUP($K298,'FATURAMENTO '!$A$2:$E$302,5,FALSE())</f>
        <v>14062.76</v>
      </c>
      <c r="H298" s="1" t="str">
        <f aca="false">VLOOKUP($K298,CHURN!$A$2:$E$302,4,FALSE())</f>
        <v>Cancelado</v>
      </c>
      <c r="I298" s="7" t="n">
        <f aca="false">(F298-G298)/F298</f>
        <v>0.295135080948323</v>
      </c>
      <c r="J298" s="1" t="str">
        <f aca="false">IF(INDEX($I$3:$I$302,MATCH(B298,$B$3:$B$302,0))&gt;50%,"Alto valor",IF(INDEX($I$3:$I$302,MATCH(B298,$B$3:$B$302,0))&gt;=30%,"Médio valor","Baixo valor"))</f>
        <v>Médio valor</v>
      </c>
      <c r="K298" s="0" t="str">
        <f aca="false">CONCATENATE(B298,E298)</f>
        <v>AW2025-01</v>
      </c>
      <c r="L298" s="1"/>
    </row>
    <row r="299" customFormat="false" ht="14.25" hidden="false" customHeight="false" outlineLevel="0" collapsed="false">
      <c r="B299" s="1" t="s">
        <v>64</v>
      </c>
      <c r="C299" s="1" t="str">
        <f aca="false">VLOOKUP(B299,Tabela4[],2,FALSE())</f>
        <v>Média</v>
      </c>
      <c r="D299" s="5" t="str">
        <f aca="false">VLOOKUP(B299,Tabela4[],3,FALSE())</f>
        <v>Pernambuco</v>
      </c>
      <c r="E299" s="2" t="s">
        <v>12</v>
      </c>
      <c r="F299" s="6" t="n">
        <f aca="false">VLOOKUP($K299,'FATURAMENTO '!$A$2:$E$302,4,FALSE())</f>
        <v>41093</v>
      </c>
      <c r="G299" s="6" t="n">
        <f aca="false">VLOOKUP($K299,'FATURAMENTO '!$A$2:$E$302,5,FALSE())</f>
        <v>32604.77</v>
      </c>
      <c r="H299" s="1" t="str">
        <f aca="false">VLOOKUP($K299,CHURN!$A$2:$E$302,4,FALSE())</f>
        <v>Ativo</v>
      </c>
      <c r="I299" s="7" t="n">
        <f aca="false">(F299-G299)/F299</f>
        <v>0.20656145815589</v>
      </c>
      <c r="J299" s="1" t="str">
        <f aca="false">IF(INDEX($I$3:$I$302,MATCH(B299,$B$3:$B$302,0))&gt;50%,"Alto valor",IF(INDEX($I$3:$I$302,MATCH(B299,$B$3:$B$302,0))&gt;=30%,"Médio valor","Baixo valor"))</f>
        <v>Médio valor</v>
      </c>
      <c r="K299" s="0" t="str">
        <f aca="false">CONCATENATE(B299,E299)</f>
        <v>AW2025-02</v>
      </c>
      <c r="L299" s="1"/>
    </row>
    <row r="300" customFormat="false" ht="14.25" hidden="false" customHeight="false" outlineLevel="0" collapsed="false">
      <c r="B300" s="1" t="s">
        <v>64</v>
      </c>
      <c r="C300" s="1" t="str">
        <f aca="false">VLOOKUP(B300,Tabela4[],2,FALSE())</f>
        <v>Média</v>
      </c>
      <c r="D300" s="5" t="str">
        <f aca="false">VLOOKUP(B300,Tabela4[],3,FALSE())</f>
        <v>Pernambuco</v>
      </c>
      <c r="E300" s="2" t="s">
        <v>13</v>
      </c>
      <c r="F300" s="6" t="n">
        <f aca="false">VLOOKUP($K300,'FATURAMENTO '!$A$2:$E$302,4,FALSE())</f>
        <v>11732</v>
      </c>
      <c r="G300" s="6" t="n">
        <f aca="false">VLOOKUP($K300,'FATURAMENTO '!$A$2:$E$302,5,FALSE())</f>
        <v>7162.43</v>
      </c>
      <c r="H300" s="1" t="str">
        <f aca="false">VLOOKUP($K300,CHURN!$A$2:$E$302,4,FALSE())</f>
        <v>Ativo</v>
      </c>
      <c r="I300" s="7" t="n">
        <f aca="false">(F300-G300)/F300</f>
        <v>0.389496249573815</v>
      </c>
      <c r="J300" s="1" t="str">
        <f aca="false">IF(INDEX($I$3:$I$302,MATCH(B300,$B$3:$B$302,0))&gt;50%,"Alto valor",IF(INDEX($I$3:$I$302,MATCH(B300,$B$3:$B$302,0))&gt;=30%,"Médio valor","Baixo valor"))</f>
        <v>Médio valor</v>
      </c>
      <c r="K300" s="0" t="str">
        <f aca="false">CONCATENATE(B300,E300)</f>
        <v>AW2025-03</v>
      </c>
      <c r="L300" s="1"/>
    </row>
    <row r="301" customFormat="false" ht="14.25" hidden="false" customHeight="false" outlineLevel="0" collapsed="false">
      <c r="B301" s="1" t="s">
        <v>64</v>
      </c>
      <c r="C301" s="1" t="str">
        <f aca="false">VLOOKUP(B301,Tabela4[],2,FALSE())</f>
        <v>Média</v>
      </c>
      <c r="D301" s="5" t="str">
        <f aca="false">VLOOKUP(B301,Tabela4[],3,FALSE())</f>
        <v>Pernambuco</v>
      </c>
      <c r="E301" s="2" t="s">
        <v>14</v>
      </c>
      <c r="F301" s="6" t="n">
        <f aca="false">VLOOKUP($K301,'FATURAMENTO '!$A$2:$E$302,4,FALSE())</f>
        <v>5887</v>
      </c>
      <c r="G301" s="6" t="n">
        <f aca="false">VLOOKUP($K301,'FATURAMENTO '!$A$2:$E$302,5,FALSE())</f>
        <v>3610.04</v>
      </c>
      <c r="H301" s="1" t="str">
        <f aca="false">VLOOKUP($K301,CHURN!$A$2:$E$302,4,FALSE())</f>
        <v>Ativo</v>
      </c>
      <c r="I301" s="7" t="n">
        <f aca="false">(F301-G301)/F301</f>
        <v>0.386777645659929</v>
      </c>
      <c r="J301" s="1" t="str">
        <f aca="false">IF(INDEX($I$3:$I$302,MATCH(B301,$B$3:$B$302,0))&gt;50%,"Alto valor",IF(INDEX($I$3:$I$302,MATCH(B301,$B$3:$B$302,0))&gt;=30%,"Médio valor","Baixo valor"))</f>
        <v>Médio valor</v>
      </c>
      <c r="K301" s="0" t="str">
        <f aca="false">CONCATENATE(B301,E301)</f>
        <v>AW2025-04</v>
      </c>
      <c r="L301" s="1"/>
    </row>
    <row r="302" customFormat="false" ht="14.25" hidden="false" customHeight="false" outlineLevel="0" collapsed="false">
      <c r="B302" s="1" t="s">
        <v>64</v>
      </c>
      <c r="C302" s="1" t="str">
        <f aca="false">VLOOKUP(B302,Tabela4[],2,FALSE())</f>
        <v>Média</v>
      </c>
      <c r="D302" s="5" t="str">
        <f aca="false">VLOOKUP(B302,Tabela4[],3,FALSE())</f>
        <v>Pernambuco</v>
      </c>
      <c r="E302" s="2" t="s">
        <v>15</v>
      </c>
      <c r="F302" s="6" t="n">
        <f aca="false">VLOOKUP($K302,'FATURAMENTO '!$A$2:$E$302,4,FALSE())</f>
        <v>46600</v>
      </c>
      <c r="G302" s="6" t="n">
        <f aca="false">VLOOKUP($K302,'FATURAMENTO '!$A$2:$E$302,5,FALSE())</f>
        <v>36548.82</v>
      </c>
      <c r="H302" s="1" t="str">
        <f aca="false">VLOOKUP($K302,CHURN!$A$2:$E$302,4,FALSE())</f>
        <v>Ativo</v>
      </c>
      <c r="I302" s="7" t="n">
        <f aca="false">(F302-G302)/F302</f>
        <v>0.215690557939914</v>
      </c>
      <c r="J302" s="1" t="str">
        <f aca="false">IF(INDEX($I$3:$I$302,MATCH(B302,$B$3:$B$302,0))&gt;50%,"Alto valor",IF(INDEX($I$3:$I$302,MATCH(B302,$B$3:$B$302,0))&gt;=30%,"Médio valor","Baixo valor"))</f>
        <v>Médio valor</v>
      </c>
      <c r="K302" s="0" t="str">
        <f aca="false">CONCATENATE(B302,E302)</f>
        <v>AW2025-05</v>
      </c>
      <c r="L302" s="1"/>
    </row>
  </sheetData>
  <autoFilter ref="B2:J302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.63"/>
    <col collapsed="false" customWidth="true" hidden="false" outlineLevel="0" max="16384" min="16384" style="0" width="11.53"/>
  </cols>
  <sheetData>
    <row r="2" customFormat="false" ht="14.25" hidden="false" customHeight="false" outlineLevel="0" collapsed="false">
      <c r="A2" s="8" t="s">
        <v>65</v>
      </c>
      <c r="B2" s="8" t="s">
        <v>1</v>
      </c>
      <c r="C2" s="8" t="s">
        <v>2</v>
      </c>
    </row>
    <row r="3" customFormat="false" ht="14.25" hidden="false" customHeight="false" outlineLevel="0" collapsed="false">
      <c r="A3" s="1" t="s">
        <v>9</v>
      </c>
      <c r="B3" s="0" t="s">
        <v>66</v>
      </c>
      <c r="C3" s="0" t="s">
        <v>67</v>
      </c>
    </row>
    <row r="4" customFormat="false" ht="14.25" hidden="false" customHeight="false" outlineLevel="0" collapsed="false">
      <c r="A4" s="1" t="s">
        <v>16</v>
      </c>
      <c r="B4" s="0" t="s">
        <v>66</v>
      </c>
      <c r="C4" s="0" t="s">
        <v>68</v>
      </c>
    </row>
    <row r="5" customFormat="false" ht="14.25" hidden="false" customHeight="false" outlineLevel="0" collapsed="false">
      <c r="A5" s="1" t="s">
        <v>17</v>
      </c>
      <c r="B5" s="0" t="s">
        <v>69</v>
      </c>
      <c r="C5" s="0" t="s">
        <v>70</v>
      </c>
    </row>
    <row r="6" customFormat="false" ht="14.25" hidden="false" customHeight="false" outlineLevel="0" collapsed="false">
      <c r="A6" s="1" t="s">
        <v>18</v>
      </c>
      <c r="B6" s="0" t="s">
        <v>71</v>
      </c>
      <c r="C6" s="0" t="s">
        <v>67</v>
      </c>
    </row>
    <row r="7" customFormat="false" ht="14.25" hidden="false" customHeight="false" outlineLevel="0" collapsed="false">
      <c r="A7" s="1" t="s">
        <v>19</v>
      </c>
      <c r="B7" s="0" t="s">
        <v>66</v>
      </c>
      <c r="C7" s="0" t="s">
        <v>70</v>
      </c>
    </row>
    <row r="8" customFormat="false" ht="14.25" hidden="false" customHeight="false" outlineLevel="0" collapsed="false">
      <c r="A8" s="1" t="s">
        <v>20</v>
      </c>
      <c r="B8" s="0" t="s">
        <v>69</v>
      </c>
      <c r="C8" s="0" t="s">
        <v>72</v>
      </c>
    </row>
    <row r="9" customFormat="false" ht="14.25" hidden="false" customHeight="false" outlineLevel="0" collapsed="false">
      <c r="A9" s="1" t="s">
        <v>21</v>
      </c>
      <c r="B9" s="0" t="s">
        <v>66</v>
      </c>
      <c r="C9" s="0" t="s">
        <v>73</v>
      </c>
    </row>
    <row r="10" customFormat="false" ht="14.25" hidden="false" customHeight="false" outlineLevel="0" collapsed="false">
      <c r="A10" s="1" t="s">
        <v>22</v>
      </c>
      <c r="B10" s="0" t="s">
        <v>69</v>
      </c>
      <c r="C10" s="0" t="s">
        <v>74</v>
      </c>
    </row>
    <row r="11" customFormat="false" ht="14.25" hidden="false" customHeight="false" outlineLevel="0" collapsed="false">
      <c r="A11" s="1" t="s">
        <v>23</v>
      </c>
      <c r="B11" s="0" t="s">
        <v>66</v>
      </c>
      <c r="C11" s="0" t="s">
        <v>73</v>
      </c>
    </row>
    <row r="12" customFormat="false" ht="14.25" hidden="false" customHeight="false" outlineLevel="0" collapsed="false">
      <c r="A12" s="1" t="s">
        <v>24</v>
      </c>
      <c r="B12" s="0" t="s">
        <v>69</v>
      </c>
      <c r="C12" s="0" t="s">
        <v>75</v>
      </c>
    </row>
    <row r="13" customFormat="false" ht="14.25" hidden="false" customHeight="false" outlineLevel="0" collapsed="false">
      <c r="A13" s="1" t="s">
        <v>25</v>
      </c>
      <c r="B13" s="0" t="s">
        <v>71</v>
      </c>
      <c r="C13" s="0" t="s">
        <v>76</v>
      </c>
    </row>
    <row r="14" customFormat="false" ht="14.25" hidden="false" customHeight="false" outlineLevel="0" collapsed="false">
      <c r="A14" s="1" t="s">
        <v>26</v>
      </c>
      <c r="B14" s="0" t="s">
        <v>69</v>
      </c>
      <c r="C14" s="0" t="s">
        <v>68</v>
      </c>
    </row>
    <row r="15" customFormat="false" ht="14.25" hidden="false" customHeight="false" outlineLevel="0" collapsed="false">
      <c r="A15" s="1" t="s">
        <v>27</v>
      </c>
      <c r="B15" s="0" t="s">
        <v>66</v>
      </c>
      <c r="C15" s="0" t="s">
        <v>72</v>
      </c>
    </row>
    <row r="16" customFormat="false" ht="14.25" hidden="false" customHeight="false" outlineLevel="0" collapsed="false">
      <c r="A16" s="1" t="s">
        <v>28</v>
      </c>
      <c r="B16" s="0" t="s">
        <v>66</v>
      </c>
      <c r="C16" s="0" t="s">
        <v>70</v>
      </c>
    </row>
    <row r="17" customFormat="false" ht="14.25" hidden="false" customHeight="false" outlineLevel="0" collapsed="false">
      <c r="A17" s="1" t="s">
        <v>29</v>
      </c>
      <c r="B17" s="0" t="s">
        <v>71</v>
      </c>
      <c r="C17" s="0" t="s">
        <v>77</v>
      </c>
    </row>
    <row r="18" customFormat="false" ht="14.25" hidden="false" customHeight="false" outlineLevel="0" collapsed="false">
      <c r="A18" s="1" t="s">
        <v>30</v>
      </c>
      <c r="B18" s="0" t="s">
        <v>71</v>
      </c>
      <c r="C18" s="0" t="s">
        <v>78</v>
      </c>
    </row>
    <row r="19" customFormat="false" ht="14.25" hidden="false" customHeight="false" outlineLevel="0" collapsed="false">
      <c r="A19" s="1" t="s">
        <v>31</v>
      </c>
      <c r="B19" s="0" t="s">
        <v>69</v>
      </c>
      <c r="C19" s="0" t="s">
        <v>78</v>
      </c>
    </row>
    <row r="20" customFormat="false" ht="14.25" hidden="false" customHeight="false" outlineLevel="0" collapsed="false">
      <c r="A20" s="1" t="s">
        <v>32</v>
      </c>
      <c r="B20" s="0" t="s">
        <v>69</v>
      </c>
      <c r="C20" s="0" t="s">
        <v>74</v>
      </c>
    </row>
    <row r="21" customFormat="false" ht="14.25" hidden="false" customHeight="false" outlineLevel="0" collapsed="false">
      <c r="A21" s="1" t="s">
        <v>33</v>
      </c>
      <c r="B21" s="0" t="s">
        <v>71</v>
      </c>
      <c r="C21" s="0" t="s">
        <v>72</v>
      </c>
    </row>
    <row r="22" customFormat="false" ht="14.25" hidden="false" customHeight="false" outlineLevel="0" collapsed="false">
      <c r="A22" s="1" t="s">
        <v>34</v>
      </c>
      <c r="B22" s="0" t="s">
        <v>66</v>
      </c>
      <c r="C22" s="0" t="s">
        <v>77</v>
      </c>
    </row>
    <row r="23" customFormat="false" ht="14.25" hidden="false" customHeight="false" outlineLevel="0" collapsed="false">
      <c r="A23" s="1" t="s">
        <v>35</v>
      </c>
      <c r="B23" s="0" t="s">
        <v>66</v>
      </c>
      <c r="C23" s="0" t="s">
        <v>77</v>
      </c>
    </row>
    <row r="24" customFormat="false" ht="14.25" hidden="false" customHeight="false" outlineLevel="0" collapsed="false">
      <c r="A24" s="1" t="s">
        <v>36</v>
      </c>
      <c r="B24" s="0" t="s">
        <v>69</v>
      </c>
      <c r="C24" s="0" t="s">
        <v>73</v>
      </c>
    </row>
    <row r="25" customFormat="false" ht="14.25" hidden="false" customHeight="false" outlineLevel="0" collapsed="false">
      <c r="A25" s="1" t="s">
        <v>37</v>
      </c>
      <c r="B25" s="0" t="s">
        <v>71</v>
      </c>
      <c r="C25" s="0" t="s">
        <v>73</v>
      </c>
    </row>
    <row r="26" customFormat="false" ht="14.25" hidden="false" customHeight="false" outlineLevel="0" collapsed="false">
      <c r="A26" s="1" t="s">
        <v>38</v>
      </c>
      <c r="B26" s="0" t="s">
        <v>69</v>
      </c>
      <c r="C26" s="0" t="s">
        <v>76</v>
      </c>
    </row>
    <row r="27" customFormat="false" ht="14.25" hidden="false" customHeight="false" outlineLevel="0" collapsed="false">
      <c r="A27" s="1" t="s">
        <v>39</v>
      </c>
      <c r="B27" s="0" t="s">
        <v>71</v>
      </c>
      <c r="C27" s="0" t="s">
        <v>68</v>
      </c>
    </row>
    <row r="28" customFormat="false" ht="14.25" hidden="false" customHeight="false" outlineLevel="0" collapsed="false">
      <c r="A28" s="1" t="s">
        <v>40</v>
      </c>
      <c r="B28" s="0" t="s">
        <v>66</v>
      </c>
      <c r="C28" s="0" t="s">
        <v>77</v>
      </c>
    </row>
    <row r="29" customFormat="false" ht="14.25" hidden="false" customHeight="false" outlineLevel="0" collapsed="false">
      <c r="A29" s="1" t="s">
        <v>41</v>
      </c>
      <c r="B29" s="0" t="s">
        <v>71</v>
      </c>
      <c r="C29" s="0" t="s">
        <v>72</v>
      </c>
    </row>
    <row r="30" customFormat="false" ht="14.25" hidden="false" customHeight="false" outlineLevel="0" collapsed="false">
      <c r="A30" s="1" t="s">
        <v>42</v>
      </c>
      <c r="B30" s="0" t="s">
        <v>71</v>
      </c>
      <c r="C30" s="0" t="s">
        <v>73</v>
      </c>
    </row>
    <row r="31" customFormat="false" ht="14.25" hidden="false" customHeight="false" outlineLevel="0" collapsed="false">
      <c r="A31" s="1" t="s">
        <v>43</v>
      </c>
      <c r="B31" s="0" t="s">
        <v>71</v>
      </c>
      <c r="C31" s="0" t="s">
        <v>78</v>
      </c>
    </row>
    <row r="32" customFormat="false" ht="14.25" hidden="false" customHeight="false" outlineLevel="0" collapsed="false">
      <c r="A32" s="1" t="s">
        <v>44</v>
      </c>
      <c r="B32" s="0" t="s">
        <v>69</v>
      </c>
      <c r="C32" s="0" t="s">
        <v>70</v>
      </c>
    </row>
    <row r="33" customFormat="false" ht="14.25" hidden="false" customHeight="false" outlineLevel="0" collapsed="false">
      <c r="A33" s="1" t="s">
        <v>45</v>
      </c>
      <c r="B33" s="0" t="s">
        <v>69</v>
      </c>
      <c r="C33" s="0" t="s">
        <v>74</v>
      </c>
    </row>
    <row r="34" customFormat="false" ht="14.25" hidden="false" customHeight="false" outlineLevel="0" collapsed="false">
      <c r="A34" s="1" t="s">
        <v>46</v>
      </c>
      <c r="B34" s="0" t="s">
        <v>69</v>
      </c>
      <c r="C34" s="0" t="s">
        <v>74</v>
      </c>
    </row>
    <row r="35" customFormat="false" ht="14.25" hidden="false" customHeight="false" outlineLevel="0" collapsed="false">
      <c r="A35" s="1" t="s">
        <v>47</v>
      </c>
      <c r="B35" s="0" t="s">
        <v>69</v>
      </c>
      <c r="C35" s="0" t="s">
        <v>78</v>
      </c>
    </row>
    <row r="36" customFormat="false" ht="14.25" hidden="false" customHeight="false" outlineLevel="0" collapsed="false">
      <c r="A36" s="1" t="s">
        <v>48</v>
      </c>
      <c r="B36" s="0" t="s">
        <v>66</v>
      </c>
      <c r="C36" s="0" t="s">
        <v>74</v>
      </c>
    </row>
    <row r="37" customFormat="false" ht="14.25" hidden="false" customHeight="false" outlineLevel="0" collapsed="false">
      <c r="A37" s="1" t="s">
        <v>49</v>
      </c>
      <c r="B37" s="0" t="s">
        <v>66</v>
      </c>
      <c r="C37" s="0" t="s">
        <v>74</v>
      </c>
    </row>
    <row r="38" customFormat="false" ht="14.25" hidden="false" customHeight="false" outlineLevel="0" collapsed="false">
      <c r="A38" s="1" t="s">
        <v>50</v>
      </c>
      <c r="B38" s="0" t="s">
        <v>69</v>
      </c>
      <c r="C38" s="0" t="s">
        <v>70</v>
      </c>
    </row>
    <row r="39" customFormat="false" ht="14.25" hidden="false" customHeight="false" outlineLevel="0" collapsed="false">
      <c r="A39" s="1" t="s">
        <v>51</v>
      </c>
      <c r="B39" s="0" t="s">
        <v>71</v>
      </c>
      <c r="C39" s="0" t="s">
        <v>77</v>
      </c>
    </row>
    <row r="40" customFormat="false" ht="14.25" hidden="false" customHeight="false" outlineLevel="0" collapsed="false">
      <c r="A40" s="1" t="s">
        <v>52</v>
      </c>
      <c r="B40" s="0" t="s">
        <v>69</v>
      </c>
      <c r="C40" s="0" t="s">
        <v>73</v>
      </c>
    </row>
    <row r="41" customFormat="false" ht="14.25" hidden="false" customHeight="false" outlineLevel="0" collapsed="false">
      <c r="A41" s="1" t="s">
        <v>53</v>
      </c>
      <c r="B41" s="0" t="s">
        <v>71</v>
      </c>
      <c r="C41" s="0" t="s">
        <v>68</v>
      </c>
    </row>
    <row r="42" customFormat="false" ht="14.25" hidden="false" customHeight="false" outlineLevel="0" collapsed="false">
      <c r="A42" s="1" t="s">
        <v>54</v>
      </c>
      <c r="B42" s="0" t="s">
        <v>66</v>
      </c>
      <c r="C42" s="0" t="s">
        <v>78</v>
      </c>
    </row>
    <row r="43" customFormat="false" ht="14.25" hidden="false" customHeight="false" outlineLevel="0" collapsed="false">
      <c r="A43" s="1" t="s">
        <v>55</v>
      </c>
      <c r="B43" s="0" t="s">
        <v>66</v>
      </c>
      <c r="C43" s="0" t="s">
        <v>73</v>
      </c>
    </row>
    <row r="44" customFormat="false" ht="14.25" hidden="false" customHeight="false" outlineLevel="0" collapsed="false">
      <c r="A44" s="1" t="s">
        <v>56</v>
      </c>
      <c r="B44" s="0" t="s">
        <v>71</v>
      </c>
      <c r="C44" s="0" t="s">
        <v>70</v>
      </c>
    </row>
    <row r="45" customFormat="false" ht="14.25" hidden="false" customHeight="false" outlineLevel="0" collapsed="false">
      <c r="A45" s="1" t="s">
        <v>57</v>
      </c>
      <c r="B45" s="0" t="s">
        <v>69</v>
      </c>
      <c r="C45" s="0" t="s">
        <v>67</v>
      </c>
    </row>
    <row r="46" customFormat="false" ht="14.25" hidden="false" customHeight="false" outlineLevel="0" collapsed="false">
      <c r="A46" s="1" t="s">
        <v>58</v>
      </c>
      <c r="B46" s="0" t="s">
        <v>66</v>
      </c>
      <c r="C46" s="0" t="s">
        <v>74</v>
      </c>
    </row>
    <row r="47" customFormat="false" ht="14.25" hidden="false" customHeight="false" outlineLevel="0" collapsed="false">
      <c r="A47" s="1" t="s">
        <v>59</v>
      </c>
      <c r="B47" s="0" t="s">
        <v>69</v>
      </c>
      <c r="C47" s="0" t="s">
        <v>78</v>
      </c>
    </row>
    <row r="48" customFormat="false" ht="14.25" hidden="false" customHeight="false" outlineLevel="0" collapsed="false">
      <c r="A48" s="1" t="s">
        <v>60</v>
      </c>
      <c r="B48" s="0" t="s">
        <v>66</v>
      </c>
      <c r="C48" s="0" t="s">
        <v>77</v>
      </c>
    </row>
    <row r="49" customFormat="false" ht="14.25" hidden="false" customHeight="false" outlineLevel="0" collapsed="false">
      <c r="A49" s="1" t="s">
        <v>61</v>
      </c>
      <c r="B49" s="0" t="s">
        <v>69</v>
      </c>
      <c r="C49" s="0" t="s">
        <v>72</v>
      </c>
    </row>
    <row r="50" customFormat="false" ht="14.25" hidden="false" customHeight="false" outlineLevel="0" collapsed="false">
      <c r="A50" s="1" t="s">
        <v>62</v>
      </c>
      <c r="B50" s="0" t="s">
        <v>66</v>
      </c>
      <c r="C50" s="0" t="s">
        <v>68</v>
      </c>
    </row>
    <row r="51" customFormat="false" ht="14.25" hidden="false" customHeight="false" outlineLevel="0" collapsed="false">
      <c r="A51" s="1" t="s">
        <v>63</v>
      </c>
      <c r="B51" s="0" t="s">
        <v>69</v>
      </c>
      <c r="C51" s="0" t="s">
        <v>76</v>
      </c>
    </row>
    <row r="52" customFormat="false" ht="14.25" hidden="false" customHeight="false" outlineLevel="0" collapsed="false">
      <c r="A52" s="1" t="s">
        <v>64</v>
      </c>
      <c r="B52" s="0" t="s">
        <v>66</v>
      </c>
      <c r="C52" s="0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&amp;L_x005F_x000D_&amp;1#&amp;7 ***Este documento está clasificado como USO INTERNO por TELEFÓNICA.
***This document is classified as INTERNAL USE by TELEFÓNICA.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0.45"/>
    <col collapsed="false" customWidth="true" hidden="false" outlineLevel="0" max="2" min="2" style="1" width="12"/>
    <col collapsed="false" customWidth="true" hidden="false" outlineLevel="0" max="3" min="3" style="1" width="11.18"/>
    <col collapsed="false" customWidth="true" hidden="false" outlineLevel="0" max="4" min="4" style="9" width="16.18"/>
    <col collapsed="false" customWidth="true" hidden="false" outlineLevel="0" max="5" min="5" style="9" width="14.54"/>
    <col collapsed="false" customWidth="true" hidden="false" outlineLevel="0" max="6" min="6" style="0" width="14.54"/>
    <col collapsed="false" customWidth="true" hidden="false" outlineLevel="0" max="7" min="7" style="0" width="14.27"/>
    <col collapsed="false" customWidth="true" hidden="false" outlineLevel="0" max="16384" min="16384" style="0" width="11.53"/>
  </cols>
  <sheetData>
    <row r="2" customFormat="false" ht="14.25" hidden="false" customHeight="false" outlineLevel="0" collapsed="false">
      <c r="A2" s="0" t="s">
        <v>79</v>
      </c>
      <c r="B2" s="10" t="s">
        <v>80</v>
      </c>
      <c r="C2" s="10" t="s">
        <v>81</v>
      </c>
      <c r="D2" s="11" t="s">
        <v>4</v>
      </c>
      <c r="E2" s="11" t="s">
        <v>5</v>
      </c>
    </row>
    <row r="3" customFormat="false" ht="14.25" hidden="false" customHeight="false" outlineLevel="0" collapsed="false">
      <c r="A3" s="0" t="str">
        <f aca="false">CONCATENATE(Tabela13[[#This Row],[cliente_id]],Tabela13[[#This Row],[mes_ano]])</f>
        <v>A2024-12</v>
      </c>
      <c r="B3" s="1" t="s">
        <v>9</v>
      </c>
      <c r="C3" s="1" t="s">
        <v>10</v>
      </c>
      <c r="D3" s="9" t="n">
        <v>21231</v>
      </c>
      <c r="E3" s="9" t="n">
        <v>13598.65</v>
      </c>
      <c r="F3" s="12"/>
    </row>
    <row r="4" customFormat="false" ht="14.25" hidden="false" customHeight="false" outlineLevel="0" collapsed="false">
      <c r="A4" s="0" t="str">
        <f aca="false">CONCATENATE(Tabela13[[#This Row],[cliente_id]],Tabela13[[#This Row],[mes_ano]])</f>
        <v>A2025-01</v>
      </c>
      <c r="B4" s="1" t="s">
        <v>9</v>
      </c>
      <c r="C4" s="1" t="s">
        <v>11</v>
      </c>
      <c r="D4" s="9" t="n">
        <v>35273</v>
      </c>
      <c r="E4" s="9" t="n">
        <v>24414.45</v>
      </c>
    </row>
    <row r="5" customFormat="false" ht="14.25" hidden="false" customHeight="false" outlineLevel="0" collapsed="false">
      <c r="A5" s="0" t="str">
        <f aca="false">CONCATENATE(Tabela13[[#This Row],[cliente_id]],Tabela13[[#This Row],[mes_ano]])</f>
        <v>A2025-02</v>
      </c>
      <c r="B5" s="1" t="s">
        <v>9</v>
      </c>
      <c r="C5" s="1" t="s">
        <v>12</v>
      </c>
      <c r="D5" s="9" t="n">
        <v>12897</v>
      </c>
      <c r="E5" s="9" t="n">
        <v>7662.32</v>
      </c>
    </row>
    <row r="6" customFormat="false" ht="14.25" hidden="false" customHeight="false" outlineLevel="0" collapsed="false">
      <c r="A6" s="0" t="str">
        <f aca="false">CONCATENATE(Tabela13[[#This Row],[cliente_id]],Tabela13[[#This Row],[mes_ano]])</f>
        <v>A2025-03</v>
      </c>
      <c r="B6" s="1" t="s">
        <v>9</v>
      </c>
      <c r="C6" s="1" t="s">
        <v>13</v>
      </c>
      <c r="D6" s="9" t="n">
        <v>29303</v>
      </c>
      <c r="E6" s="9" t="n">
        <v>16188.04</v>
      </c>
    </row>
    <row r="7" customFormat="false" ht="14.25" hidden="false" customHeight="false" outlineLevel="0" collapsed="false">
      <c r="A7" s="0" t="str">
        <f aca="false">CONCATENATE(Tabela13[[#This Row],[cliente_id]],Tabela13[[#This Row],[mes_ano]])</f>
        <v>A2025-04</v>
      </c>
      <c r="B7" s="1" t="s">
        <v>9</v>
      </c>
      <c r="C7" s="1" t="s">
        <v>14</v>
      </c>
      <c r="D7" s="9" t="n">
        <v>42192</v>
      </c>
      <c r="E7" s="9" t="n">
        <v>26160.68</v>
      </c>
    </row>
    <row r="8" customFormat="false" ht="14.25" hidden="false" customHeight="false" outlineLevel="0" collapsed="false">
      <c r="A8" s="0" t="str">
        <f aca="false">CONCATENATE(Tabela13[[#This Row],[cliente_id]],Tabela13[[#This Row],[mes_ano]])</f>
        <v>A2025-05</v>
      </c>
      <c r="B8" s="1" t="s">
        <v>9</v>
      </c>
      <c r="C8" s="1" t="s">
        <v>15</v>
      </c>
      <c r="D8" s="9" t="n">
        <v>13155</v>
      </c>
      <c r="E8" s="9" t="n">
        <v>7317.15</v>
      </c>
    </row>
    <row r="9" customFormat="false" ht="14.25" hidden="false" customHeight="false" outlineLevel="0" collapsed="false">
      <c r="A9" s="0" t="str">
        <f aca="false">CONCATENATE(Tabela13[[#This Row],[cliente_id]],Tabela13[[#This Row],[mes_ano]])</f>
        <v>B2024-12</v>
      </c>
      <c r="B9" s="1" t="s">
        <v>16</v>
      </c>
      <c r="C9" s="1" t="s">
        <v>10</v>
      </c>
      <c r="D9" s="9" t="n">
        <v>39211</v>
      </c>
      <c r="E9" s="9" t="n">
        <v>25382.97</v>
      </c>
    </row>
    <row r="10" customFormat="false" ht="14.25" hidden="false" customHeight="false" outlineLevel="0" collapsed="false">
      <c r="A10" s="0" t="str">
        <f aca="false">CONCATENATE(Tabela13[[#This Row],[cliente_id]],Tabela13[[#This Row],[mes_ano]])</f>
        <v>B2025-01</v>
      </c>
      <c r="B10" s="1" t="s">
        <v>16</v>
      </c>
      <c r="C10" s="1" t="s">
        <v>11</v>
      </c>
      <c r="D10" s="9" t="n">
        <v>26027</v>
      </c>
      <c r="E10" s="9" t="n">
        <v>19476.55</v>
      </c>
    </row>
    <row r="11" customFormat="false" ht="14.25" hidden="false" customHeight="false" outlineLevel="0" collapsed="false">
      <c r="A11" s="0" t="str">
        <f aca="false">CONCATENATE(Tabela13[[#This Row],[cliente_id]],Tabela13[[#This Row],[mes_ano]])</f>
        <v>B2025-02</v>
      </c>
      <c r="B11" s="1" t="s">
        <v>16</v>
      </c>
      <c r="C11" s="1" t="s">
        <v>12</v>
      </c>
      <c r="D11" s="9" t="n">
        <v>35119</v>
      </c>
      <c r="E11" s="9" t="n">
        <v>20804.3</v>
      </c>
    </row>
    <row r="12" customFormat="false" ht="14.25" hidden="false" customHeight="false" outlineLevel="0" collapsed="false">
      <c r="A12" s="0" t="str">
        <f aca="false">CONCATENATE(Tabela13[[#This Row],[cliente_id]],Tabela13[[#This Row],[mes_ano]])</f>
        <v>B2025-03</v>
      </c>
      <c r="B12" s="1" t="s">
        <v>16</v>
      </c>
      <c r="C12" s="1" t="s">
        <v>13</v>
      </c>
      <c r="D12" s="9" t="n">
        <v>21363</v>
      </c>
      <c r="E12" s="9" t="n">
        <v>16304.52</v>
      </c>
    </row>
    <row r="13" customFormat="false" ht="14.25" hidden="false" customHeight="false" outlineLevel="0" collapsed="false">
      <c r="A13" s="0" t="str">
        <f aca="false">CONCATENATE(Tabela13[[#This Row],[cliente_id]],Tabela13[[#This Row],[mes_ano]])</f>
        <v>B2025-04</v>
      </c>
      <c r="B13" s="1" t="s">
        <v>16</v>
      </c>
      <c r="C13" s="1" t="s">
        <v>14</v>
      </c>
      <c r="D13" s="9" t="n">
        <v>7179</v>
      </c>
      <c r="E13" s="9" t="n">
        <v>4489.85</v>
      </c>
    </row>
    <row r="14" customFormat="false" ht="14.25" hidden="false" customHeight="false" outlineLevel="0" collapsed="false">
      <c r="A14" s="0" t="str">
        <f aca="false">CONCATENATE(Tabela13[[#This Row],[cliente_id]],Tabela13[[#This Row],[mes_ano]])</f>
        <v>B2025-05</v>
      </c>
      <c r="B14" s="1" t="s">
        <v>16</v>
      </c>
      <c r="C14" s="1" t="s">
        <v>15</v>
      </c>
      <c r="D14" s="9" t="n">
        <v>26815</v>
      </c>
      <c r="E14" s="9" t="n">
        <v>14788.29</v>
      </c>
    </row>
    <row r="15" customFormat="false" ht="14.25" hidden="false" customHeight="false" outlineLevel="0" collapsed="false">
      <c r="A15" s="0" t="str">
        <f aca="false">CONCATENATE(Tabela13[[#This Row],[cliente_id]],Tabela13[[#This Row],[mes_ano]])</f>
        <v>C2024-12</v>
      </c>
      <c r="B15" s="1" t="s">
        <v>17</v>
      </c>
      <c r="C15" s="1" t="s">
        <v>10</v>
      </c>
      <c r="D15" s="9" t="n">
        <v>15923</v>
      </c>
      <c r="E15" s="9" t="n">
        <v>11332.07</v>
      </c>
    </row>
    <row r="16" customFormat="false" ht="14.25" hidden="false" customHeight="false" outlineLevel="0" collapsed="false">
      <c r="A16" s="0" t="str">
        <f aca="false">CONCATENATE(Tabela13[[#This Row],[cliente_id]],Tabela13[[#This Row],[mes_ano]])</f>
        <v>C2025-01</v>
      </c>
      <c r="B16" s="1" t="s">
        <v>17</v>
      </c>
      <c r="C16" s="1" t="s">
        <v>11</v>
      </c>
      <c r="D16" s="9" t="n">
        <v>4922</v>
      </c>
      <c r="E16" s="9" t="n">
        <v>3371.62</v>
      </c>
    </row>
    <row r="17" customFormat="false" ht="14.25" hidden="false" customHeight="false" outlineLevel="0" collapsed="false">
      <c r="A17" s="0" t="str">
        <f aca="false">CONCATENATE(Tabela13[[#This Row],[cliente_id]],Tabela13[[#This Row],[mes_ano]])</f>
        <v>C2025-02</v>
      </c>
      <c r="B17" s="1" t="s">
        <v>17</v>
      </c>
      <c r="C17" s="1" t="s">
        <v>12</v>
      </c>
      <c r="D17" s="9" t="n">
        <v>46087</v>
      </c>
      <c r="E17" s="9" t="n">
        <v>23605.5</v>
      </c>
    </row>
    <row r="18" customFormat="false" ht="14.25" hidden="false" customHeight="false" outlineLevel="0" collapsed="false">
      <c r="A18" s="0" t="str">
        <f aca="false">CONCATENATE(Tabela13[[#This Row],[cliente_id]],Tabela13[[#This Row],[mes_ano]])</f>
        <v>C2025-03</v>
      </c>
      <c r="B18" s="1" t="s">
        <v>17</v>
      </c>
      <c r="C18" s="1" t="s">
        <v>13</v>
      </c>
      <c r="D18" s="9" t="n">
        <v>24934</v>
      </c>
      <c r="E18" s="9" t="n">
        <v>15050.3</v>
      </c>
    </row>
    <row r="19" customFormat="false" ht="14.25" hidden="false" customHeight="false" outlineLevel="0" collapsed="false">
      <c r="A19" s="0" t="str">
        <f aca="false">CONCATENATE(Tabela13[[#This Row],[cliente_id]],Tabela13[[#This Row],[mes_ano]])</f>
        <v>C2025-04</v>
      </c>
      <c r="B19" s="1" t="s">
        <v>17</v>
      </c>
      <c r="C19" s="1" t="s">
        <v>14</v>
      </c>
      <c r="D19" s="9" t="n">
        <v>10325</v>
      </c>
      <c r="E19" s="9" t="n">
        <v>6350.68</v>
      </c>
    </row>
    <row r="20" customFormat="false" ht="14.25" hidden="false" customHeight="false" outlineLevel="0" collapsed="false">
      <c r="A20" s="0" t="str">
        <f aca="false">CONCATENATE(Tabela13[[#This Row],[cliente_id]],Tabela13[[#This Row],[mes_ano]])</f>
        <v>C2025-05</v>
      </c>
      <c r="B20" s="1" t="s">
        <v>17</v>
      </c>
      <c r="C20" s="1" t="s">
        <v>15</v>
      </c>
      <c r="D20" s="9" t="n">
        <v>15620</v>
      </c>
      <c r="E20" s="9" t="n">
        <v>11100.81</v>
      </c>
    </row>
    <row r="21" customFormat="false" ht="14.25" hidden="false" customHeight="false" outlineLevel="0" collapsed="false">
      <c r="A21" s="0" t="str">
        <f aca="false">CONCATENATE(Tabela13[[#This Row],[cliente_id]],Tabela13[[#This Row],[mes_ano]])</f>
        <v>D2024-12</v>
      </c>
      <c r="B21" s="1" t="s">
        <v>18</v>
      </c>
      <c r="C21" s="1" t="s">
        <v>10</v>
      </c>
      <c r="D21" s="9" t="n">
        <v>14806</v>
      </c>
      <c r="E21" s="9" t="n">
        <v>11759.08</v>
      </c>
    </row>
    <row r="22" customFormat="false" ht="14.25" hidden="false" customHeight="false" outlineLevel="0" collapsed="false">
      <c r="A22" s="0" t="str">
        <f aca="false">CONCATENATE(Tabela13[[#This Row],[cliente_id]],Tabela13[[#This Row],[mes_ano]])</f>
        <v>D2025-01</v>
      </c>
      <c r="B22" s="1" t="s">
        <v>18</v>
      </c>
      <c r="C22" s="1" t="s">
        <v>11</v>
      </c>
      <c r="D22" s="9" t="n">
        <v>38204</v>
      </c>
      <c r="E22" s="9" t="n">
        <v>22071.97</v>
      </c>
    </row>
    <row r="23" customFormat="false" ht="14.25" hidden="false" customHeight="false" outlineLevel="0" collapsed="false">
      <c r="A23" s="0" t="str">
        <f aca="false">CONCATENATE(Tabela13[[#This Row],[cliente_id]],Tabela13[[#This Row],[mes_ano]])</f>
        <v>D2025-02</v>
      </c>
      <c r="B23" s="1" t="s">
        <v>18</v>
      </c>
      <c r="C23" s="1" t="s">
        <v>12</v>
      </c>
      <c r="D23" s="9" t="n">
        <v>45343</v>
      </c>
      <c r="E23" s="9" t="n">
        <v>27404.74</v>
      </c>
    </row>
    <row r="24" customFormat="false" ht="14.25" hidden="false" customHeight="false" outlineLevel="0" collapsed="false">
      <c r="A24" s="0" t="str">
        <f aca="false">CONCATENATE(Tabela13[[#This Row],[cliente_id]],Tabela13[[#This Row],[mes_ano]])</f>
        <v>D2025-03</v>
      </c>
      <c r="B24" s="1" t="s">
        <v>18</v>
      </c>
      <c r="C24" s="1" t="s">
        <v>13</v>
      </c>
      <c r="D24" s="9" t="n">
        <v>4530</v>
      </c>
      <c r="E24" s="9" t="n">
        <v>3245.71</v>
      </c>
    </row>
    <row r="25" customFormat="false" ht="14.25" hidden="false" customHeight="false" outlineLevel="0" collapsed="false">
      <c r="A25" s="0" t="str">
        <f aca="false">CONCATENATE(Tabela13[[#This Row],[cliente_id]],Tabela13[[#This Row],[mes_ano]])</f>
        <v>D2025-04</v>
      </c>
      <c r="B25" s="1" t="s">
        <v>18</v>
      </c>
      <c r="C25" s="1" t="s">
        <v>14</v>
      </c>
      <c r="D25" s="9" t="n">
        <v>37571</v>
      </c>
      <c r="E25" s="9" t="n">
        <v>23561.6</v>
      </c>
    </row>
    <row r="26" customFormat="false" ht="14.25" hidden="false" customHeight="false" outlineLevel="0" collapsed="false">
      <c r="A26" s="0" t="str">
        <f aca="false">CONCATENATE(Tabela13[[#This Row],[cliente_id]],Tabela13[[#This Row],[mes_ano]])</f>
        <v>D2025-05</v>
      </c>
      <c r="B26" s="1" t="s">
        <v>18</v>
      </c>
      <c r="C26" s="1" t="s">
        <v>15</v>
      </c>
      <c r="D26" s="9" t="n">
        <v>4056</v>
      </c>
      <c r="E26" s="9" t="n">
        <v>2302.59</v>
      </c>
    </row>
    <row r="27" customFormat="false" ht="14.25" hidden="false" customHeight="false" outlineLevel="0" collapsed="false">
      <c r="A27" s="0" t="str">
        <f aca="false">CONCATENATE(Tabela13[[#This Row],[cliente_id]],Tabela13[[#This Row],[mes_ano]])</f>
        <v>E2024-12</v>
      </c>
      <c r="B27" s="1" t="s">
        <v>19</v>
      </c>
      <c r="C27" s="1" t="s">
        <v>10</v>
      </c>
      <c r="D27" s="9" t="n">
        <v>2657</v>
      </c>
      <c r="E27" s="9" t="n">
        <v>1928.07</v>
      </c>
    </row>
    <row r="28" customFormat="false" ht="14.25" hidden="false" customHeight="false" outlineLevel="0" collapsed="false">
      <c r="A28" s="0" t="str">
        <f aca="false">CONCATENATE(Tabela13[[#This Row],[cliente_id]],Tabela13[[#This Row],[mes_ano]])</f>
        <v>E2025-01</v>
      </c>
      <c r="B28" s="1" t="s">
        <v>19</v>
      </c>
      <c r="C28" s="1" t="s">
        <v>11</v>
      </c>
      <c r="D28" s="9" t="n">
        <v>11565</v>
      </c>
      <c r="E28" s="9" t="n">
        <v>8763.25</v>
      </c>
    </row>
    <row r="29" customFormat="false" ht="14.25" hidden="false" customHeight="false" outlineLevel="0" collapsed="false">
      <c r="A29" s="0" t="str">
        <f aca="false">CONCATENATE(Tabela13[[#This Row],[cliente_id]],Tabela13[[#This Row],[mes_ano]])</f>
        <v>E2025-02</v>
      </c>
      <c r="B29" s="1" t="s">
        <v>19</v>
      </c>
      <c r="C29" s="1" t="s">
        <v>12</v>
      </c>
      <c r="D29" s="9" t="n">
        <v>36553</v>
      </c>
      <c r="E29" s="9" t="n">
        <v>24262.11</v>
      </c>
    </row>
    <row r="30" customFormat="false" ht="14.25" hidden="false" customHeight="false" outlineLevel="0" collapsed="false">
      <c r="A30" s="0" t="str">
        <f aca="false">CONCATENATE(Tabela13[[#This Row],[cliente_id]],Tabela13[[#This Row],[mes_ano]])</f>
        <v>E2025-03</v>
      </c>
      <c r="B30" s="1" t="s">
        <v>19</v>
      </c>
      <c r="C30" s="1" t="s">
        <v>13</v>
      </c>
      <c r="D30" s="9" t="n">
        <v>28310</v>
      </c>
      <c r="E30" s="9" t="n">
        <v>17281.94</v>
      </c>
    </row>
    <row r="31" customFormat="false" ht="14.25" hidden="false" customHeight="false" outlineLevel="0" collapsed="false">
      <c r="A31" s="0" t="str">
        <f aca="false">CONCATENATE(Tabela13[[#This Row],[cliente_id]],Tabela13[[#This Row],[mes_ano]])</f>
        <v>E2025-04</v>
      </c>
      <c r="B31" s="1" t="s">
        <v>19</v>
      </c>
      <c r="C31" s="1" t="s">
        <v>14</v>
      </c>
      <c r="D31" s="9" t="n">
        <v>46096</v>
      </c>
      <c r="E31" s="9" t="n">
        <v>32122.08</v>
      </c>
    </row>
    <row r="32" customFormat="false" ht="14.25" hidden="false" customHeight="false" outlineLevel="0" collapsed="false">
      <c r="A32" s="0" t="str">
        <f aca="false">CONCATENATE(Tabela13[[#This Row],[cliente_id]],Tabela13[[#This Row],[mes_ano]])</f>
        <v>E2025-05</v>
      </c>
      <c r="B32" s="1" t="s">
        <v>19</v>
      </c>
      <c r="C32" s="1" t="s">
        <v>15</v>
      </c>
      <c r="D32" s="9" t="n">
        <v>43742</v>
      </c>
      <c r="E32" s="9" t="n">
        <v>29148.19</v>
      </c>
    </row>
    <row r="33" customFormat="false" ht="14.25" hidden="false" customHeight="false" outlineLevel="0" collapsed="false">
      <c r="A33" s="0" t="str">
        <f aca="false">CONCATENATE(Tabela13[[#This Row],[cliente_id]],Tabela13[[#This Row],[mes_ano]])</f>
        <v>F2024-12</v>
      </c>
      <c r="B33" s="1" t="s">
        <v>20</v>
      </c>
      <c r="C33" s="1" t="s">
        <v>10</v>
      </c>
      <c r="D33" s="9" t="n">
        <v>30245</v>
      </c>
      <c r="E33" s="9" t="n">
        <v>17225.67</v>
      </c>
    </row>
    <row r="34" customFormat="false" ht="14.25" hidden="false" customHeight="false" outlineLevel="0" collapsed="false">
      <c r="A34" s="0" t="str">
        <f aca="false">CONCATENATE(Tabela13[[#This Row],[cliente_id]],Tabela13[[#This Row],[mes_ano]])</f>
        <v>F2025-01</v>
      </c>
      <c r="B34" s="1" t="s">
        <v>20</v>
      </c>
      <c r="C34" s="1" t="s">
        <v>11</v>
      </c>
      <c r="D34" s="9" t="n">
        <v>19225</v>
      </c>
      <c r="E34" s="9" t="n">
        <v>13198.56</v>
      </c>
    </row>
    <row r="35" customFormat="false" ht="14.25" hidden="false" customHeight="false" outlineLevel="0" collapsed="false">
      <c r="A35" s="0" t="str">
        <f aca="false">CONCATENATE(Tabela13[[#This Row],[cliente_id]],Tabela13[[#This Row],[mes_ano]])</f>
        <v>F2025-02</v>
      </c>
      <c r="B35" s="1" t="s">
        <v>20</v>
      </c>
      <c r="C35" s="1" t="s">
        <v>12</v>
      </c>
      <c r="D35" s="9" t="n">
        <v>14920</v>
      </c>
      <c r="E35" s="9" t="n">
        <v>9956.46</v>
      </c>
    </row>
    <row r="36" customFormat="false" ht="14.25" hidden="false" customHeight="false" outlineLevel="0" collapsed="false">
      <c r="A36" s="0" t="str">
        <f aca="false">CONCATENATE(Tabela13[[#This Row],[cliente_id]],Tabela13[[#This Row],[mes_ano]])</f>
        <v>F2025-03</v>
      </c>
      <c r="B36" s="1" t="s">
        <v>20</v>
      </c>
      <c r="C36" s="1" t="s">
        <v>13</v>
      </c>
      <c r="D36" s="9" t="n">
        <v>2898</v>
      </c>
      <c r="E36" s="9" t="n">
        <v>1676.48</v>
      </c>
    </row>
    <row r="37" customFormat="false" ht="14.25" hidden="false" customHeight="false" outlineLevel="0" collapsed="false">
      <c r="A37" s="0" t="str">
        <f aca="false">CONCATENATE(Tabela13[[#This Row],[cliente_id]],Tabela13[[#This Row],[mes_ano]])</f>
        <v>F2025-04</v>
      </c>
      <c r="B37" s="1" t="s">
        <v>20</v>
      </c>
      <c r="C37" s="1" t="s">
        <v>14</v>
      </c>
      <c r="D37" s="9" t="n">
        <v>4717</v>
      </c>
      <c r="E37" s="9" t="n">
        <v>3441.2</v>
      </c>
    </row>
    <row r="38" customFormat="false" ht="14.25" hidden="false" customHeight="false" outlineLevel="0" collapsed="false">
      <c r="A38" s="0" t="str">
        <f aca="false">CONCATENATE(Tabela13[[#This Row],[cliente_id]],Tabela13[[#This Row],[mes_ano]])</f>
        <v>F2025-05</v>
      </c>
      <c r="B38" s="1" t="s">
        <v>20</v>
      </c>
      <c r="C38" s="1" t="s">
        <v>15</v>
      </c>
      <c r="D38" s="9" t="n">
        <v>43205</v>
      </c>
      <c r="E38" s="9" t="n">
        <v>26285.81</v>
      </c>
    </row>
    <row r="39" customFormat="false" ht="14.25" hidden="false" customHeight="false" outlineLevel="0" collapsed="false">
      <c r="A39" s="0" t="str">
        <f aca="false">CONCATENATE(Tabela13[[#This Row],[cliente_id]],Tabela13[[#This Row],[mes_ano]])</f>
        <v>G2024-12</v>
      </c>
      <c r="B39" s="1" t="s">
        <v>21</v>
      </c>
      <c r="C39" s="1" t="s">
        <v>10</v>
      </c>
      <c r="D39" s="9" t="n">
        <v>45635</v>
      </c>
      <c r="E39" s="9" t="n">
        <v>23769.57</v>
      </c>
    </row>
    <row r="40" customFormat="false" ht="14.25" hidden="false" customHeight="false" outlineLevel="0" collapsed="false">
      <c r="A40" s="0" t="str">
        <f aca="false">CONCATENATE(Tabela13[[#This Row],[cliente_id]],Tabela13[[#This Row],[mes_ano]])</f>
        <v>G2025-01</v>
      </c>
      <c r="B40" s="1" t="s">
        <v>21</v>
      </c>
      <c r="C40" s="1" t="s">
        <v>11</v>
      </c>
      <c r="D40" s="9" t="n">
        <v>34170</v>
      </c>
      <c r="E40" s="9" t="n">
        <v>20568.41</v>
      </c>
    </row>
    <row r="41" customFormat="false" ht="14.25" hidden="false" customHeight="false" outlineLevel="0" collapsed="false">
      <c r="A41" s="0" t="str">
        <f aca="false">CONCATENATE(Tabela13[[#This Row],[cliente_id]],Tabela13[[#This Row],[mes_ano]])</f>
        <v>G2025-02</v>
      </c>
      <c r="B41" s="1" t="s">
        <v>21</v>
      </c>
      <c r="C41" s="1" t="s">
        <v>12</v>
      </c>
      <c r="D41" s="9" t="n">
        <v>17007</v>
      </c>
      <c r="E41" s="9" t="n">
        <v>9132.8</v>
      </c>
    </row>
    <row r="42" customFormat="false" ht="14.25" hidden="false" customHeight="false" outlineLevel="0" collapsed="false">
      <c r="A42" s="0" t="str">
        <f aca="false">CONCATENATE(Tabela13[[#This Row],[cliente_id]],Tabela13[[#This Row],[mes_ano]])</f>
        <v>G2025-03</v>
      </c>
      <c r="B42" s="1" t="s">
        <v>21</v>
      </c>
      <c r="C42" s="1" t="s">
        <v>13</v>
      </c>
      <c r="D42" s="9" t="n">
        <v>3752</v>
      </c>
      <c r="E42" s="9" t="n">
        <v>2728.99</v>
      </c>
    </row>
    <row r="43" customFormat="false" ht="14.25" hidden="false" customHeight="false" outlineLevel="0" collapsed="false">
      <c r="A43" s="0" t="str">
        <f aca="false">CONCATENATE(Tabela13[[#This Row],[cliente_id]],Tabela13[[#This Row],[mes_ano]])</f>
        <v>G2025-04</v>
      </c>
      <c r="B43" s="1" t="s">
        <v>21</v>
      </c>
      <c r="C43" s="1" t="s">
        <v>14</v>
      </c>
      <c r="D43" s="9" t="n">
        <v>48439</v>
      </c>
      <c r="E43" s="9" t="n">
        <v>30513.5</v>
      </c>
    </row>
    <row r="44" customFormat="false" ht="14.25" hidden="false" customHeight="false" outlineLevel="0" collapsed="false">
      <c r="A44" s="0" t="str">
        <f aca="false">CONCATENATE(Tabela13[[#This Row],[cliente_id]],Tabela13[[#This Row],[mes_ano]])</f>
        <v>G2025-05</v>
      </c>
      <c r="B44" s="1" t="s">
        <v>21</v>
      </c>
      <c r="C44" s="1" t="s">
        <v>15</v>
      </c>
      <c r="D44" s="9" t="n">
        <v>15933</v>
      </c>
      <c r="E44" s="9" t="n">
        <v>10546.55</v>
      </c>
    </row>
    <row r="45" customFormat="false" ht="14.25" hidden="false" customHeight="false" outlineLevel="0" collapsed="false">
      <c r="A45" s="0" t="str">
        <f aca="false">CONCATENATE(Tabela13[[#This Row],[cliente_id]],Tabela13[[#This Row],[mes_ano]])</f>
        <v>H2024-12</v>
      </c>
      <c r="B45" s="1" t="s">
        <v>22</v>
      </c>
      <c r="C45" s="1" t="s">
        <v>10</v>
      </c>
      <c r="D45" s="9" t="n">
        <v>13988</v>
      </c>
      <c r="E45" s="9" t="n">
        <v>7546.88</v>
      </c>
    </row>
    <row r="46" customFormat="false" ht="14.25" hidden="false" customHeight="false" outlineLevel="0" collapsed="false">
      <c r="A46" s="0" t="str">
        <f aca="false">CONCATENATE(Tabela13[[#This Row],[cliente_id]],Tabela13[[#This Row],[mes_ano]])</f>
        <v>H2025-01</v>
      </c>
      <c r="B46" s="1" t="s">
        <v>22</v>
      </c>
      <c r="C46" s="1" t="s">
        <v>11</v>
      </c>
      <c r="D46" s="9" t="n">
        <v>44154</v>
      </c>
      <c r="E46" s="9" t="n">
        <v>31626.3</v>
      </c>
    </row>
    <row r="47" customFormat="false" ht="14.25" hidden="false" customHeight="false" outlineLevel="0" collapsed="false">
      <c r="A47" s="0" t="str">
        <f aca="false">CONCATENATE(Tabela13[[#This Row],[cliente_id]],Tabela13[[#This Row],[mes_ano]])</f>
        <v>H2025-02</v>
      </c>
      <c r="B47" s="1" t="s">
        <v>22</v>
      </c>
      <c r="C47" s="1" t="s">
        <v>12</v>
      </c>
      <c r="D47" s="9" t="n">
        <v>13742</v>
      </c>
      <c r="E47" s="9" t="n">
        <v>10808.71</v>
      </c>
    </row>
    <row r="48" customFormat="false" ht="14.25" hidden="false" customHeight="false" outlineLevel="0" collapsed="false">
      <c r="A48" s="0" t="str">
        <f aca="false">CONCATENATE(Tabela13[[#This Row],[cliente_id]],Tabela13[[#This Row],[mes_ano]])</f>
        <v>H2025-03</v>
      </c>
      <c r="B48" s="1" t="s">
        <v>22</v>
      </c>
      <c r="C48" s="1" t="s">
        <v>13</v>
      </c>
      <c r="D48" s="9" t="n">
        <v>4330</v>
      </c>
      <c r="E48" s="9" t="n">
        <v>3126.91</v>
      </c>
    </row>
    <row r="49" customFormat="false" ht="14.25" hidden="false" customHeight="false" outlineLevel="0" collapsed="false">
      <c r="A49" s="0" t="str">
        <f aca="false">CONCATENATE(Tabela13[[#This Row],[cliente_id]],Tabela13[[#This Row],[mes_ano]])</f>
        <v>H2025-04</v>
      </c>
      <c r="B49" s="1" t="s">
        <v>22</v>
      </c>
      <c r="C49" s="1" t="s">
        <v>14</v>
      </c>
      <c r="D49" s="9" t="n">
        <v>3283</v>
      </c>
      <c r="E49" s="9" t="n">
        <v>2182.11</v>
      </c>
    </row>
    <row r="50" customFormat="false" ht="14.25" hidden="false" customHeight="false" outlineLevel="0" collapsed="false">
      <c r="A50" s="0" t="str">
        <f aca="false">CONCATENATE(Tabela13[[#This Row],[cliente_id]],Tabela13[[#This Row],[mes_ano]])</f>
        <v>H2025-05</v>
      </c>
      <c r="B50" s="1" t="s">
        <v>22</v>
      </c>
      <c r="C50" s="1" t="s">
        <v>15</v>
      </c>
      <c r="D50" s="9" t="n">
        <v>2099</v>
      </c>
      <c r="E50" s="9" t="n">
        <v>1159.38</v>
      </c>
    </row>
    <row r="51" customFormat="false" ht="14.25" hidden="false" customHeight="false" outlineLevel="0" collapsed="false">
      <c r="A51" s="0" t="str">
        <f aca="false">CONCATENATE(Tabela13[[#This Row],[cliente_id]],Tabela13[[#This Row],[mes_ano]])</f>
        <v>I2024-12</v>
      </c>
      <c r="B51" s="1" t="s">
        <v>23</v>
      </c>
      <c r="C51" s="1" t="s">
        <v>10</v>
      </c>
      <c r="D51" s="9" t="n">
        <v>35899</v>
      </c>
      <c r="E51" s="9" t="n">
        <v>27541.15</v>
      </c>
    </row>
    <row r="52" customFormat="false" ht="14.25" hidden="false" customHeight="false" outlineLevel="0" collapsed="false">
      <c r="A52" s="0" t="str">
        <f aca="false">CONCATENATE(Tabela13[[#This Row],[cliente_id]],Tabela13[[#This Row],[mes_ano]])</f>
        <v>I2025-01</v>
      </c>
      <c r="B52" s="1" t="s">
        <v>23</v>
      </c>
      <c r="C52" s="1" t="s">
        <v>11</v>
      </c>
      <c r="D52" s="9" t="n">
        <v>11979</v>
      </c>
      <c r="E52" s="9" t="n">
        <v>8368.92</v>
      </c>
    </row>
    <row r="53" customFormat="false" ht="14.25" hidden="false" customHeight="false" outlineLevel="0" collapsed="false">
      <c r="A53" s="0" t="str">
        <f aca="false">CONCATENATE(Tabela13[[#This Row],[cliente_id]],Tabela13[[#This Row],[mes_ano]])</f>
        <v>I2025-02</v>
      </c>
      <c r="B53" s="1" t="s">
        <v>23</v>
      </c>
      <c r="C53" s="1" t="s">
        <v>12</v>
      </c>
      <c r="D53" s="9" t="n">
        <v>30856</v>
      </c>
      <c r="E53" s="9" t="n">
        <v>17932.58</v>
      </c>
    </row>
    <row r="54" customFormat="false" ht="14.25" hidden="false" customHeight="false" outlineLevel="0" collapsed="false">
      <c r="A54" s="0" t="str">
        <f aca="false">CONCATENATE(Tabela13[[#This Row],[cliente_id]],Tabela13[[#This Row],[mes_ano]])</f>
        <v>I2025-03</v>
      </c>
      <c r="B54" s="1" t="s">
        <v>23</v>
      </c>
      <c r="C54" s="1" t="s">
        <v>13</v>
      </c>
      <c r="D54" s="9" t="n">
        <v>12397</v>
      </c>
      <c r="E54" s="9" t="n">
        <v>6975.21</v>
      </c>
    </row>
    <row r="55" customFormat="false" ht="14.25" hidden="false" customHeight="false" outlineLevel="0" collapsed="false">
      <c r="A55" s="0" t="str">
        <f aca="false">CONCATENATE(Tabela13[[#This Row],[cliente_id]],Tabela13[[#This Row],[mes_ano]])</f>
        <v>I2025-04</v>
      </c>
      <c r="B55" s="1" t="s">
        <v>23</v>
      </c>
      <c r="C55" s="1" t="s">
        <v>14</v>
      </c>
      <c r="D55" s="9" t="n">
        <v>35361</v>
      </c>
      <c r="E55" s="9" t="n">
        <v>22507.87</v>
      </c>
    </row>
    <row r="56" customFormat="false" ht="14.25" hidden="false" customHeight="false" outlineLevel="0" collapsed="false">
      <c r="A56" s="0" t="str">
        <f aca="false">CONCATENATE(Tabela13[[#This Row],[cliente_id]],Tabela13[[#This Row],[mes_ano]])</f>
        <v>I2025-05</v>
      </c>
      <c r="B56" s="1" t="s">
        <v>23</v>
      </c>
      <c r="C56" s="1" t="s">
        <v>15</v>
      </c>
      <c r="D56" s="9" t="n">
        <v>13005</v>
      </c>
      <c r="E56" s="9" t="n">
        <v>10246.04</v>
      </c>
    </row>
    <row r="57" customFormat="false" ht="14.25" hidden="false" customHeight="false" outlineLevel="0" collapsed="false">
      <c r="A57" s="0" t="str">
        <f aca="false">CONCATENATE(Tabela13[[#This Row],[cliente_id]],Tabela13[[#This Row],[mes_ano]])</f>
        <v>J2024-12</v>
      </c>
      <c r="B57" s="1" t="s">
        <v>24</v>
      </c>
      <c r="C57" s="1" t="s">
        <v>10</v>
      </c>
      <c r="D57" s="9" t="n">
        <v>19081</v>
      </c>
      <c r="E57" s="9" t="n">
        <v>14472.79</v>
      </c>
    </row>
    <row r="58" customFormat="false" ht="14.25" hidden="false" customHeight="false" outlineLevel="0" collapsed="false">
      <c r="A58" s="0" t="str">
        <f aca="false">CONCATENATE(Tabela13[[#This Row],[cliente_id]],Tabela13[[#This Row],[mes_ano]])</f>
        <v>J2025-01</v>
      </c>
      <c r="B58" s="1" t="s">
        <v>24</v>
      </c>
      <c r="C58" s="1" t="s">
        <v>11</v>
      </c>
      <c r="D58" s="9" t="n">
        <v>7388</v>
      </c>
      <c r="E58" s="9" t="n">
        <v>4351.05</v>
      </c>
    </row>
    <row r="59" customFormat="false" ht="14.25" hidden="false" customHeight="false" outlineLevel="0" collapsed="false">
      <c r="A59" s="0" t="str">
        <f aca="false">CONCATENATE(Tabela13[[#This Row],[cliente_id]],Tabela13[[#This Row],[mes_ano]])</f>
        <v>J2025-02</v>
      </c>
      <c r="B59" s="1" t="s">
        <v>24</v>
      </c>
      <c r="C59" s="1" t="s">
        <v>12</v>
      </c>
      <c r="D59" s="9" t="n">
        <v>25506</v>
      </c>
      <c r="E59" s="9" t="n">
        <v>19246.84</v>
      </c>
    </row>
    <row r="60" customFormat="false" ht="14.25" hidden="false" customHeight="false" outlineLevel="0" collapsed="false">
      <c r="A60" s="0" t="str">
        <f aca="false">CONCATENATE(Tabela13[[#This Row],[cliente_id]],Tabela13[[#This Row],[mes_ano]])</f>
        <v>J2025-03</v>
      </c>
      <c r="B60" s="1" t="s">
        <v>24</v>
      </c>
      <c r="C60" s="1" t="s">
        <v>13</v>
      </c>
      <c r="D60" s="9" t="n">
        <v>10008</v>
      </c>
      <c r="E60" s="9" t="n">
        <v>5245.33</v>
      </c>
    </row>
    <row r="61" customFormat="false" ht="14.25" hidden="false" customHeight="false" outlineLevel="0" collapsed="false">
      <c r="A61" s="0" t="str">
        <f aca="false">CONCATENATE(Tabela13[[#This Row],[cliente_id]],Tabela13[[#This Row],[mes_ano]])</f>
        <v>J2025-04</v>
      </c>
      <c r="B61" s="1" t="s">
        <v>24</v>
      </c>
      <c r="C61" s="1" t="s">
        <v>14</v>
      </c>
      <c r="D61" s="9" t="n">
        <v>48075</v>
      </c>
      <c r="E61" s="9" t="n">
        <v>30490.73</v>
      </c>
    </row>
    <row r="62" customFormat="false" ht="14.25" hidden="false" customHeight="false" outlineLevel="0" collapsed="false">
      <c r="A62" s="0" t="str">
        <f aca="false">CONCATENATE(Tabela13[[#This Row],[cliente_id]],Tabela13[[#This Row],[mes_ano]])</f>
        <v>J2025-05</v>
      </c>
      <c r="B62" s="1" t="s">
        <v>24</v>
      </c>
      <c r="C62" s="1" t="s">
        <v>15</v>
      </c>
      <c r="D62" s="9" t="n">
        <v>9701</v>
      </c>
      <c r="E62" s="9" t="n">
        <v>6040.23</v>
      </c>
    </row>
    <row r="63" customFormat="false" ht="14.25" hidden="false" customHeight="false" outlineLevel="0" collapsed="false">
      <c r="A63" s="0" t="str">
        <f aca="false">CONCATENATE(Tabela13[[#This Row],[cliente_id]],Tabela13[[#This Row],[mes_ano]])</f>
        <v>K2024-12</v>
      </c>
      <c r="B63" s="1" t="s">
        <v>25</v>
      </c>
      <c r="C63" s="1" t="s">
        <v>10</v>
      </c>
      <c r="D63" s="9" t="n">
        <v>46897</v>
      </c>
      <c r="E63" s="9" t="n">
        <v>27429.36</v>
      </c>
    </row>
    <row r="64" customFormat="false" ht="14.25" hidden="false" customHeight="false" outlineLevel="0" collapsed="false">
      <c r="A64" s="0" t="str">
        <f aca="false">CONCATENATE(Tabela13[[#This Row],[cliente_id]],Tabela13[[#This Row],[mes_ano]])</f>
        <v>K2025-01</v>
      </c>
      <c r="B64" s="1" t="s">
        <v>25</v>
      </c>
      <c r="C64" s="1" t="s">
        <v>11</v>
      </c>
      <c r="D64" s="9" t="n">
        <v>47608</v>
      </c>
      <c r="E64" s="9" t="n">
        <v>32658.15</v>
      </c>
    </row>
    <row r="65" customFormat="false" ht="14.25" hidden="false" customHeight="false" outlineLevel="0" collapsed="false">
      <c r="A65" s="0" t="str">
        <f aca="false">CONCATENATE(Tabela13[[#This Row],[cliente_id]],Tabela13[[#This Row],[mes_ano]])</f>
        <v>K2025-02</v>
      </c>
      <c r="B65" s="1" t="s">
        <v>25</v>
      </c>
      <c r="C65" s="1" t="s">
        <v>12</v>
      </c>
      <c r="D65" s="9" t="n">
        <v>40680</v>
      </c>
      <c r="E65" s="9" t="n">
        <v>27671.35</v>
      </c>
    </row>
    <row r="66" customFormat="false" ht="14.25" hidden="false" customHeight="false" outlineLevel="0" collapsed="false">
      <c r="A66" s="0" t="str">
        <f aca="false">CONCATENATE(Tabela13[[#This Row],[cliente_id]],Tabela13[[#This Row],[mes_ano]])</f>
        <v>K2025-03</v>
      </c>
      <c r="B66" s="1" t="s">
        <v>25</v>
      </c>
      <c r="C66" s="1" t="s">
        <v>13</v>
      </c>
      <c r="D66" s="9" t="n">
        <v>32521</v>
      </c>
      <c r="E66" s="9" t="n">
        <v>25280.02</v>
      </c>
    </row>
    <row r="67" customFormat="false" ht="14.25" hidden="false" customHeight="false" outlineLevel="0" collapsed="false">
      <c r="A67" s="0" t="str">
        <f aca="false">CONCATENATE(Tabela13[[#This Row],[cliente_id]],Tabela13[[#This Row],[mes_ano]])</f>
        <v>K2025-04</v>
      </c>
      <c r="B67" s="1" t="s">
        <v>25</v>
      </c>
      <c r="C67" s="1" t="s">
        <v>14</v>
      </c>
      <c r="D67" s="9" t="n">
        <v>12557</v>
      </c>
      <c r="E67" s="9" t="n">
        <v>9886.14</v>
      </c>
    </row>
    <row r="68" customFormat="false" ht="14.25" hidden="false" customHeight="false" outlineLevel="0" collapsed="false">
      <c r="A68" s="0" t="str">
        <f aca="false">CONCATENATE(Tabela13[[#This Row],[cliente_id]],Tabela13[[#This Row],[mes_ano]])</f>
        <v>K2025-05</v>
      </c>
      <c r="B68" s="1" t="s">
        <v>25</v>
      </c>
      <c r="C68" s="1" t="s">
        <v>15</v>
      </c>
      <c r="D68" s="9" t="n">
        <v>7527</v>
      </c>
      <c r="E68" s="9" t="n">
        <v>4386.02</v>
      </c>
    </row>
    <row r="69" customFormat="false" ht="14.25" hidden="false" customHeight="false" outlineLevel="0" collapsed="false">
      <c r="A69" s="0" t="str">
        <f aca="false">CONCATENATE(Tabela13[[#This Row],[cliente_id]],Tabela13[[#This Row],[mes_ano]])</f>
        <v>L2024-12</v>
      </c>
      <c r="B69" s="1" t="s">
        <v>26</v>
      </c>
      <c r="C69" s="1" t="s">
        <v>10</v>
      </c>
      <c r="D69" s="9" t="n">
        <v>36806</v>
      </c>
      <c r="E69" s="9" t="n">
        <v>21473.11</v>
      </c>
    </row>
    <row r="70" customFormat="false" ht="14.25" hidden="false" customHeight="false" outlineLevel="0" collapsed="false">
      <c r="A70" s="0" t="str">
        <f aca="false">CONCATENATE(Tabela13[[#This Row],[cliente_id]],Tabela13[[#This Row],[mes_ano]])</f>
        <v>L2025-01</v>
      </c>
      <c r="B70" s="1" t="s">
        <v>26</v>
      </c>
      <c r="C70" s="1" t="s">
        <v>11</v>
      </c>
      <c r="D70" s="9" t="n">
        <v>21716</v>
      </c>
      <c r="E70" s="9" t="n">
        <v>12776.22</v>
      </c>
    </row>
    <row r="71" customFormat="false" ht="14.25" hidden="false" customHeight="false" outlineLevel="0" collapsed="false">
      <c r="A71" s="0" t="str">
        <f aca="false">CONCATENATE(Tabela13[[#This Row],[cliente_id]],Tabela13[[#This Row],[mes_ano]])</f>
        <v>L2025-02</v>
      </c>
      <c r="B71" s="1" t="s">
        <v>26</v>
      </c>
      <c r="C71" s="1" t="s">
        <v>12</v>
      </c>
      <c r="D71" s="9" t="n">
        <v>20446</v>
      </c>
      <c r="E71" s="9" t="n">
        <v>11448.38</v>
      </c>
    </row>
    <row r="72" customFormat="false" ht="14.25" hidden="false" customHeight="false" outlineLevel="0" collapsed="false">
      <c r="A72" s="0" t="str">
        <f aca="false">CONCATENATE(Tabela13[[#This Row],[cliente_id]],Tabela13[[#This Row],[mes_ano]])</f>
        <v>L2025-03</v>
      </c>
      <c r="B72" s="1" t="s">
        <v>26</v>
      </c>
      <c r="C72" s="1" t="s">
        <v>13</v>
      </c>
      <c r="D72" s="9" t="n">
        <v>23460</v>
      </c>
      <c r="E72" s="9" t="n">
        <v>17324.41</v>
      </c>
    </row>
    <row r="73" customFormat="false" ht="14.25" hidden="false" customHeight="false" outlineLevel="0" collapsed="false">
      <c r="A73" s="0" t="str">
        <f aca="false">CONCATENATE(Tabela13[[#This Row],[cliente_id]],Tabela13[[#This Row],[mes_ano]])</f>
        <v>L2025-04</v>
      </c>
      <c r="B73" s="1" t="s">
        <v>26</v>
      </c>
      <c r="C73" s="1" t="s">
        <v>14</v>
      </c>
      <c r="D73" s="9" t="n">
        <v>23755</v>
      </c>
      <c r="E73" s="9" t="n">
        <v>15754.91</v>
      </c>
    </row>
    <row r="74" customFormat="false" ht="14.25" hidden="false" customHeight="false" outlineLevel="0" collapsed="false">
      <c r="A74" s="0" t="str">
        <f aca="false">CONCATENATE(Tabela13[[#This Row],[cliente_id]],Tabela13[[#This Row],[mes_ano]])</f>
        <v>L2025-05</v>
      </c>
      <c r="B74" s="1" t="s">
        <v>26</v>
      </c>
      <c r="C74" s="1" t="s">
        <v>15</v>
      </c>
      <c r="D74" s="9" t="n">
        <v>47467</v>
      </c>
      <c r="E74" s="9" t="n">
        <v>36284.09</v>
      </c>
    </row>
    <row r="75" customFormat="false" ht="14.25" hidden="false" customHeight="false" outlineLevel="0" collapsed="false">
      <c r="A75" s="0" t="str">
        <f aca="false">CONCATENATE(Tabela13[[#This Row],[cliente_id]],Tabela13[[#This Row],[mes_ano]])</f>
        <v>M2024-12</v>
      </c>
      <c r="B75" s="1" t="s">
        <v>27</v>
      </c>
      <c r="C75" s="1" t="s">
        <v>10</v>
      </c>
      <c r="D75" s="9" t="n">
        <v>18899</v>
      </c>
      <c r="E75" s="9" t="n">
        <v>10332.93</v>
      </c>
    </row>
    <row r="76" customFormat="false" ht="14.25" hidden="false" customHeight="false" outlineLevel="0" collapsed="false">
      <c r="A76" s="0" t="str">
        <f aca="false">CONCATENATE(Tabela13[[#This Row],[cliente_id]],Tabela13[[#This Row],[mes_ano]])</f>
        <v>M2025-01</v>
      </c>
      <c r="B76" s="1" t="s">
        <v>27</v>
      </c>
      <c r="C76" s="1" t="s">
        <v>11</v>
      </c>
      <c r="D76" s="9" t="n">
        <v>9629</v>
      </c>
      <c r="E76" s="9" t="n">
        <v>7664.88</v>
      </c>
    </row>
    <row r="77" customFormat="false" ht="14.25" hidden="false" customHeight="false" outlineLevel="0" collapsed="false">
      <c r="A77" s="0" t="str">
        <f aca="false">CONCATENATE(Tabela13[[#This Row],[cliente_id]],Tabela13[[#This Row],[mes_ano]])</f>
        <v>M2025-02</v>
      </c>
      <c r="B77" s="1" t="s">
        <v>27</v>
      </c>
      <c r="C77" s="1" t="s">
        <v>12</v>
      </c>
      <c r="D77" s="9" t="n">
        <v>9867</v>
      </c>
      <c r="E77" s="9" t="n">
        <v>5296.05</v>
      </c>
    </row>
    <row r="78" customFormat="false" ht="14.25" hidden="false" customHeight="false" outlineLevel="0" collapsed="false">
      <c r="A78" s="0" t="str">
        <f aca="false">CONCATENATE(Tabela13[[#This Row],[cliente_id]],Tabela13[[#This Row],[mes_ano]])</f>
        <v>M2025-03</v>
      </c>
      <c r="B78" s="1" t="s">
        <v>27</v>
      </c>
      <c r="C78" s="1" t="s">
        <v>13</v>
      </c>
      <c r="D78" s="9" t="n">
        <v>26670</v>
      </c>
      <c r="E78" s="9" t="n">
        <v>20567.97</v>
      </c>
    </row>
    <row r="79" customFormat="false" ht="14.25" hidden="false" customHeight="false" outlineLevel="0" collapsed="false">
      <c r="A79" s="0" t="str">
        <f aca="false">CONCATENATE(Tabela13[[#This Row],[cliente_id]],Tabela13[[#This Row],[mes_ano]])</f>
        <v>M2025-04</v>
      </c>
      <c r="B79" s="1" t="s">
        <v>27</v>
      </c>
      <c r="C79" s="1" t="s">
        <v>14</v>
      </c>
      <c r="D79" s="9" t="n">
        <v>38849</v>
      </c>
      <c r="E79" s="9" t="n">
        <v>24675.66</v>
      </c>
    </row>
    <row r="80" customFormat="false" ht="14.25" hidden="false" customHeight="false" outlineLevel="0" collapsed="false">
      <c r="A80" s="0" t="str">
        <f aca="false">CONCATENATE(Tabela13[[#This Row],[cliente_id]],Tabela13[[#This Row],[mes_ano]])</f>
        <v>M2025-05</v>
      </c>
      <c r="B80" s="1" t="s">
        <v>27</v>
      </c>
      <c r="C80" s="1" t="s">
        <v>15</v>
      </c>
      <c r="D80" s="9" t="n">
        <v>19165</v>
      </c>
      <c r="E80" s="9" t="n">
        <v>12147.41</v>
      </c>
    </row>
    <row r="81" customFormat="false" ht="14.25" hidden="false" customHeight="false" outlineLevel="0" collapsed="false">
      <c r="A81" s="0" t="str">
        <f aca="false">CONCATENATE(Tabela13[[#This Row],[cliente_id]],Tabela13[[#This Row],[mes_ano]])</f>
        <v>N2024-12</v>
      </c>
      <c r="B81" s="1" t="s">
        <v>28</v>
      </c>
      <c r="C81" s="1" t="s">
        <v>10</v>
      </c>
      <c r="D81" s="9" t="n">
        <v>24247</v>
      </c>
      <c r="E81" s="9" t="n">
        <v>12695.52</v>
      </c>
    </row>
    <row r="82" customFormat="false" ht="14.25" hidden="false" customHeight="false" outlineLevel="0" collapsed="false">
      <c r="A82" s="0" t="str">
        <f aca="false">CONCATENATE(Tabela13[[#This Row],[cliente_id]],Tabela13[[#This Row],[mes_ano]])</f>
        <v>N2025-01</v>
      </c>
      <c r="B82" s="1" t="s">
        <v>28</v>
      </c>
      <c r="C82" s="1" t="s">
        <v>11</v>
      </c>
      <c r="D82" s="9" t="n">
        <v>36928</v>
      </c>
      <c r="E82" s="9" t="n">
        <v>20397.37</v>
      </c>
    </row>
    <row r="83" customFormat="false" ht="14.25" hidden="false" customHeight="false" outlineLevel="0" collapsed="false">
      <c r="A83" s="0" t="str">
        <f aca="false">CONCATENATE(Tabela13[[#This Row],[cliente_id]],Tabela13[[#This Row],[mes_ano]])</f>
        <v>N2025-02</v>
      </c>
      <c r="B83" s="1" t="s">
        <v>28</v>
      </c>
      <c r="C83" s="1" t="s">
        <v>12</v>
      </c>
      <c r="D83" s="9" t="n">
        <v>9259</v>
      </c>
      <c r="E83" s="9" t="n">
        <v>6297.21</v>
      </c>
    </row>
    <row r="84" customFormat="false" ht="14.25" hidden="false" customHeight="false" outlineLevel="0" collapsed="false">
      <c r="A84" s="0" t="str">
        <f aca="false">CONCATENATE(Tabela13[[#This Row],[cliente_id]],Tabela13[[#This Row],[mes_ano]])</f>
        <v>N2025-03</v>
      </c>
      <c r="B84" s="1" t="s">
        <v>28</v>
      </c>
      <c r="C84" s="1" t="s">
        <v>13</v>
      </c>
      <c r="D84" s="9" t="n">
        <v>44919</v>
      </c>
      <c r="E84" s="9" t="n">
        <v>25245.84</v>
      </c>
    </row>
    <row r="85" customFormat="false" ht="14.25" hidden="false" customHeight="false" outlineLevel="0" collapsed="false">
      <c r="A85" s="0" t="str">
        <f aca="false">CONCATENATE(Tabela13[[#This Row],[cliente_id]],Tabela13[[#This Row],[mes_ano]])</f>
        <v>N2025-04</v>
      </c>
      <c r="B85" s="1" t="s">
        <v>28</v>
      </c>
      <c r="C85" s="1" t="s">
        <v>14</v>
      </c>
      <c r="D85" s="9" t="n">
        <v>48838</v>
      </c>
      <c r="E85" s="9" t="n">
        <v>27511.29</v>
      </c>
    </row>
    <row r="86" customFormat="false" ht="14.25" hidden="false" customHeight="false" outlineLevel="0" collapsed="false">
      <c r="A86" s="0" t="str">
        <f aca="false">CONCATENATE(Tabela13[[#This Row],[cliente_id]],Tabela13[[#This Row],[mes_ano]])</f>
        <v>N2025-05</v>
      </c>
      <c r="B86" s="1" t="s">
        <v>28</v>
      </c>
      <c r="C86" s="1" t="s">
        <v>15</v>
      </c>
      <c r="D86" s="9" t="n">
        <v>20203</v>
      </c>
      <c r="E86" s="9" t="n">
        <v>14594.09</v>
      </c>
    </row>
    <row r="87" customFormat="false" ht="14.25" hidden="false" customHeight="false" outlineLevel="0" collapsed="false">
      <c r="A87" s="0" t="str">
        <f aca="false">CONCATENATE(Tabela13[[#This Row],[cliente_id]],Tabela13[[#This Row],[mes_ano]])</f>
        <v>O2024-12</v>
      </c>
      <c r="B87" s="1" t="s">
        <v>29</v>
      </c>
      <c r="C87" s="1" t="s">
        <v>10</v>
      </c>
      <c r="D87" s="9" t="n">
        <v>25062</v>
      </c>
      <c r="E87" s="9" t="n">
        <v>18422.67</v>
      </c>
    </row>
    <row r="88" customFormat="false" ht="14.25" hidden="false" customHeight="false" outlineLevel="0" collapsed="false">
      <c r="A88" s="0" t="str">
        <f aca="false">CONCATENATE(Tabela13[[#This Row],[cliente_id]],Tabela13[[#This Row],[mes_ano]])</f>
        <v>O2025-01</v>
      </c>
      <c r="B88" s="1" t="s">
        <v>29</v>
      </c>
      <c r="C88" s="1" t="s">
        <v>11</v>
      </c>
      <c r="D88" s="9" t="n">
        <v>34086</v>
      </c>
      <c r="E88" s="9" t="n">
        <v>24226.6</v>
      </c>
    </row>
    <row r="89" customFormat="false" ht="14.25" hidden="false" customHeight="false" outlineLevel="0" collapsed="false">
      <c r="A89" s="0" t="str">
        <f aca="false">CONCATENATE(Tabela13[[#This Row],[cliente_id]],Tabela13[[#This Row],[mes_ano]])</f>
        <v>O2025-02</v>
      </c>
      <c r="B89" s="1" t="s">
        <v>29</v>
      </c>
      <c r="C89" s="1" t="s">
        <v>12</v>
      </c>
      <c r="D89" s="9" t="n">
        <v>9723</v>
      </c>
      <c r="E89" s="9" t="n">
        <v>4931.96</v>
      </c>
    </row>
    <row r="90" customFormat="false" ht="14.25" hidden="false" customHeight="false" outlineLevel="0" collapsed="false">
      <c r="A90" s="0" t="str">
        <f aca="false">CONCATENATE(Tabela13[[#This Row],[cliente_id]],Tabela13[[#This Row],[mes_ano]])</f>
        <v>O2025-03</v>
      </c>
      <c r="B90" s="1" t="s">
        <v>29</v>
      </c>
      <c r="C90" s="1" t="s">
        <v>13</v>
      </c>
      <c r="D90" s="9" t="n">
        <v>8243</v>
      </c>
      <c r="E90" s="9" t="n">
        <v>5472.34</v>
      </c>
    </row>
    <row r="91" customFormat="false" ht="14.25" hidden="false" customHeight="false" outlineLevel="0" collapsed="false">
      <c r="A91" s="0" t="str">
        <f aca="false">CONCATENATE(Tabela13[[#This Row],[cliente_id]],Tabela13[[#This Row],[mes_ano]])</f>
        <v>O2025-04</v>
      </c>
      <c r="B91" s="1" t="s">
        <v>29</v>
      </c>
      <c r="C91" s="1" t="s">
        <v>14</v>
      </c>
      <c r="D91" s="9" t="n">
        <v>45403</v>
      </c>
      <c r="E91" s="9" t="n">
        <v>35689.41</v>
      </c>
    </row>
    <row r="92" customFormat="false" ht="14.25" hidden="false" customHeight="false" outlineLevel="0" collapsed="false">
      <c r="A92" s="0" t="str">
        <f aca="false">CONCATENATE(Tabela13[[#This Row],[cliente_id]],Tabela13[[#This Row],[mes_ano]])</f>
        <v>O2025-05</v>
      </c>
      <c r="B92" s="1" t="s">
        <v>29</v>
      </c>
      <c r="C92" s="1" t="s">
        <v>15</v>
      </c>
      <c r="D92" s="9" t="n">
        <v>40794</v>
      </c>
      <c r="E92" s="9" t="n">
        <v>25915.31</v>
      </c>
    </row>
    <row r="93" customFormat="false" ht="14.25" hidden="false" customHeight="false" outlineLevel="0" collapsed="false">
      <c r="A93" s="0" t="str">
        <f aca="false">CONCATENATE(Tabela13[[#This Row],[cliente_id]],Tabela13[[#This Row],[mes_ano]])</f>
        <v>P2024-12</v>
      </c>
      <c r="B93" s="1" t="s">
        <v>30</v>
      </c>
      <c r="C93" s="1" t="s">
        <v>10</v>
      </c>
      <c r="D93" s="9" t="n">
        <v>26265</v>
      </c>
      <c r="E93" s="9" t="n">
        <v>17618.83</v>
      </c>
    </row>
    <row r="94" customFormat="false" ht="14.25" hidden="false" customHeight="false" outlineLevel="0" collapsed="false">
      <c r="A94" s="0" t="str">
        <f aca="false">CONCATENATE(Tabela13[[#This Row],[cliente_id]],Tabela13[[#This Row],[mes_ano]])</f>
        <v>P2025-01</v>
      </c>
      <c r="B94" s="1" t="s">
        <v>30</v>
      </c>
      <c r="C94" s="1" t="s">
        <v>11</v>
      </c>
      <c r="D94" s="9" t="n">
        <v>34662</v>
      </c>
      <c r="E94" s="9" t="n">
        <v>22451.99</v>
      </c>
    </row>
    <row r="95" customFormat="false" ht="14.25" hidden="false" customHeight="false" outlineLevel="0" collapsed="false">
      <c r="A95" s="0" t="str">
        <f aca="false">CONCATENATE(Tabela13[[#This Row],[cliente_id]],Tabela13[[#This Row],[mes_ano]])</f>
        <v>P2025-02</v>
      </c>
      <c r="B95" s="1" t="s">
        <v>30</v>
      </c>
      <c r="C95" s="1" t="s">
        <v>12</v>
      </c>
      <c r="D95" s="9" t="n">
        <v>45834</v>
      </c>
      <c r="E95" s="9" t="n">
        <v>25153.94</v>
      </c>
    </row>
    <row r="96" customFormat="false" ht="14.25" hidden="false" customHeight="false" outlineLevel="0" collapsed="false">
      <c r="A96" s="0" t="str">
        <f aca="false">CONCATENATE(Tabela13[[#This Row],[cliente_id]],Tabela13[[#This Row],[mes_ano]])</f>
        <v>P2025-03</v>
      </c>
      <c r="B96" s="1" t="s">
        <v>30</v>
      </c>
      <c r="C96" s="1" t="s">
        <v>13</v>
      </c>
      <c r="D96" s="9" t="n">
        <v>17384</v>
      </c>
      <c r="E96" s="9" t="n">
        <v>12393.51</v>
      </c>
    </row>
    <row r="97" customFormat="false" ht="14.25" hidden="false" customHeight="false" outlineLevel="0" collapsed="false">
      <c r="A97" s="0" t="str">
        <f aca="false">CONCATENATE(Tabela13[[#This Row],[cliente_id]],Tabela13[[#This Row],[mes_ano]])</f>
        <v>P2025-04</v>
      </c>
      <c r="B97" s="1" t="s">
        <v>30</v>
      </c>
      <c r="C97" s="1" t="s">
        <v>14</v>
      </c>
      <c r="D97" s="9" t="n">
        <v>5030</v>
      </c>
      <c r="E97" s="9" t="n">
        <v>3869.63</v>
      </c>
    </row>
    <row r="98" customFormat="false" ht="14.25" hidden="false" customHeight="false" outlineLevel="0" collapsed="false">
      <c r="A98" s="0" t="str">
        <f aca="false">CONCATENATE(Tabela13[[#This Row],[cliente_id]],Tabela13[[#This Row],[mes_ano]])</f>
        <v>P2025-05</v>
      </c>
      <c r="B98" s="1" t="s">
        <v>30</v>
      </c>
      <c r="C98" s="1" t="s">
        <v>15</v>
      </c>
      <c r="D98" s="9" t="n">
        <v>8067</v>
      </c>
      <c r="E98" s="9" t="n">
        <v>4816.6</v>
      </c>
    </row>
    <row r="99" customFormat="false" ht="14.25" hidden="false" customHeight="false" outlineLevel="0" collapsed="false">
      <c r="A99" s="0" t="str">
        <f aca="false">CONCATENATE(Tabela13[[#This Row],[cliente_id]],Tabela13[[#This Row],[mes_ano]])</f>
        <v>Q2024-12</v>
      </c>
      <c r="B99" s="1" t="s">
        <v>31</v>
      </c>
      <c r="C99" s="1" t="s">
        <v>10</v>
      </c>
      <c r="D99" s="9" t="n">
        <v>20995</v>
      </c>
      <c r="E99" s="9" t="n">
        <v>10771.82</v>
      </c>
    </row>
    <row r="100" customFormat="false" ht="14.25" hidden="false" customHeight="false" outlineLevel="0" collapsed="false">
      <c r="A100" s="0" t="str">
        <f aca="false">CONCATENATE(Tabela13[[#This Row],[cliente_id]],Tabela13[[#This Row],[mes_ano]])</f>
        <v>Q2025-01</v>
      </c>
      <c r="B100" s="1" t="s">
        <v>31</v>
      </c>
      <c r="C100" s="1" t="s">
        <v>11</v>
      </c>
      <c r="D100" s="9" t="n">
        <v>20013</v>
      </c>
      <c r="E100" s="9" t="n">
        <v>10287.68</v>
      </c>
    </row>
    <row r="101" customFormat="false" ht="14.25" hidden="false" customHeight="false" outlineLevel="0" collapsed="false">
      <c r="A101" s="0" t="str">
        <f aca="false">CONCATENATE(Tabela13[[#This Row],[cliente_id]],Tabela13[[#This Row],[mes_ano]])</f>
        <v>Q2025-02</v>
      </c>
      <c r="B101" s="1" t="s">
        <v>31</v>
      </c>
      <c r="C101" s="1" t="s">
        <v>12</v>
      </c>
      <c r="D101" s="9" t="n">
        <v>6886</v>
      </c>
      <c r="E101" s="9" t="n">
        <v>4752.08</v>
      </c>
    </row>
    <row r="102" customFormat="false" ht="14.25" hidden="false" customHeight="false" outlineLevel="0" collapsed="false">
      <c r="A102" s="0" t="str">
        <f aca="false">CONCATENATE(Tabela13[[#This Row],[cliente_id]],Tabela13[[#This Row],[mes_ano]])</f>
        <v>Q2025-03</v>
      </c>
      <c r="B102" s="1" t="s">
        <v>31</v>
      </c>
      <c r="C102" s="1" t="s">
        <v>13</v>
      </c>
      <c r="D102" s="9" t="n">
        <v>9075</v>
      </c>
      <c r="E102" s="9" t="n">
        <v>5930.96</v>
      </c>
    </row>
    <row r="103" customFormat="false" ht="14.25" hidden="false" customHeight="false" outlineLevel="0" collapsed="false">
      <c r="A103" s="0" t="str">
        <f aca="false">CONCATENATE(Tabela13[[#This Row],[cliente_id]],Tabela13[[#This Row],[mes_ano]])</f>
        <v>Q2025-04</v>
      </c>
      <c r="B103" s="1" t="s">
        <v>31</v>
      </c>
      <c r="C103" s="1" t="s">
        <v>14</v>
      </c>
      <c r="D103" s="9" t="n">
        <v>48175</v>
      </c>
      <c r="E103" s="9" t="n">
        <v>29853.8</v>
      </c>
    </row>
    <row r="104" customFormat="false" ht="14.25" hidden="false" customHeight="false" outlineLevel="0" collapsed="false">
      <c r="A104" s="0" t="str">
        <f aca="false">CONCATENATE(Tabela13[[#This Row],[cliente_id]],Tabela13[[#This Row],[mes_ano]])</f>
        <v>Q2025-05</v>
      </c>
      <c r="B104" s="1" t="s">
        <v>31</v>
      </c>
      <c r="C104" s="1" t="s">
        <v>15</v>
      </c>
      <c r="D104" s="9" t="n">
        <v>16414</v>
      </c>
      <c r="E104" s="9" t="n">
        <v>9320.28</v>
      </c>
    </row>
    <row r="105" customFormat="false" ht="14.25" hidden="false" customHeight="false" outlineLevel="0" collapsed="false">
      <c r="A105" s="0" t="str">
        <f aca="false">CONCATENATE(Tabela13[[#This Row],[cliente_id]],Tabela13[[#This Row],[mes_ano]])</f>
        <v>R2024-12</v>
      </c>
      <c r="B105" s="1" t="s">
        <v>32</v>
      </c>
      <c r="C105" s="1" t="s">
        <v>10</v>
      </c>
      <c r="D105" s="9" t="n">
        <v>27340</v>
      </c>
      <c r="E105" s="9" t="n">
        <v>20171.79</v>
      </c>
    </row>
    <row r="106" customFormat="false" ht="14.25" hidden="false" customHeight="false" outlineLevel="0" collapsed="false">
      <c r="A106" s="0" t="str">
        <f aca="false">CONCATENATE(Tabela13[[#This Row],[cliente_id]],Tabela13[[#This Row],[mes_ano]])</f>
        <v>R2025-01</v>
      </c>
      <c r="B106" s="1" t="s">
        <v>32</v>
      </c>
      <c r="C106" s="1" t="s">
        <v>11</v>
      </c>
      <c r="D106" s="9" t="n">
        <v>4440</v>
      </c>
      <c r="E106" s="9" t="n">
        <v>2998.63</v>
      </c>
    </row>
    <row r="107" customFormat="false" ht="14.25" hidden="false" customHeight="false" outlineLevel="0" collapsed="false">
      <c r="A107" s="0" t="str">
        <f aca="false">CONCATENATE(Tabela13[[#This Row],[cliente_id]],Tabela13[[#This Row],[mes_ano]])</f>
        <v>R2025-02</v>
      </c>
      <c r="B107" s="1" t="s">
        <v>32</v>
      </c>
      <c r="C107" s="1" t="s">
        <v>12</v>
      </c>
      <c r="D107" s="9" t="n">
        <v>19562</v>
      </c>
      <c r="E107" s="9" t="n">
        <v>13386.39</v>
      </c>
    </row>
    <row r="108" customFormat="false" ht="14.25" hidden="false" customHeight="false" outlineLevel="0" collapsed="false">
      <c r="A108" s="0" t="str">
        <f aca="false">CONCATENATE(Tabela13[[#This Row],[cliente_id]],Tabela13[[#This Row],[mes_ano]])</f>
        <v>R2025-03</v>
      </c>
      <c r="B108" s="1" t="s">
        <v>32</v>
      </c>
      <c r="C108" s="1" t="s">
        <v>13</v>
      </c>
      <c r="D108" s="9" t="n">
        <v>28803</v>
      </c>
      <c r="E108" s="9" t="n">
        <v>19236.2</v>
      </c>
    </row>
    <row r="109" customFormat="false" ht="14.25" hidden="false" customHeight="false" outlineLevel="0" collapsed="false">
      <c r="A109" s="0" t="str">
        <f aca="false">CONCATENATE(Tabela13[[#This Row],[cliente_id]],Tabela13[[#This Row],[mes_ano]])</f>
        <v>R2025-04</v>
      </c>
      <c r="B109" s="1" t="s">
        <v>32</v>
      </c>
      <c r="C109" s="1" t="s">
        <v>14</v>
      </c>
      <c r="D109" s="9" t="n">
        <v>4109</v>
      </c>
      <c r="E109" s="9" t="n">
        <v>2744.43</v>
      </c>
    </row>
    <row r="110" customFormat="false" ht="14.25" hidden="false" customHeight="false" outlineLevel="0" collapsed="false">
      <c r="A110" s="0" t="str">
        <f aca="false">CONCATENATE(Tabela13[[#This Row],[cliente_id]],Tabela13[[#This Row],[mes_ano]])</f>
        <v>R2025-05</v>
      </c>
      <c r="B110" s="1" t="s">
        <v>32</v>
      </c>
      <c r="C110" s="1" t="s">
        <v>15</v>
      </c>
      <c r="D110" s="9" t="n">
        <v>31357</v>
      </c>
      <c r="E110" s="9" t="n">
        <v>16100.28</v>
      </c>
    </row>
    <row r="111" customFormat="false" ht="14.25" hidden="false" customHeight="false" outlineLevel="0" collapsed="false">
      <c r="A111" s="0" t="str">
        <f aca="false">CONCATENATE(Tabela13[[#This Row],[cliente_id]],Tabela13[[#This Row],[mes_ano]])</f>
        <v>S2024-12</v>
      </c>
      <c r="B111" s="1" t="s">
        <v>33</v>
      </c>
      <c r="C111" s="1" t="s">
        <v>10</v>
      </c>
      <c r="D111" s="9" t="n">
        <v>41566</v>
      </c>
      <c r="E111" s="9" t="n">
        <v>32942.39</v>
      </c>
    </row>
    <row r="112" customFormat="false" ht="14.25" hidden="false" customHeight="false" outlineLevel="0" collapsed="false">
      <c r="A112" s="0" t="str">
        <f aca="false">CONCATENATE(Tabela13[[#This Row],[cliente_id]],Tabela13[[#This Row],[mes_ano]])</f>
        <v>S2025-01</v>
      </c>
      <c r="B112" s="1" t="s">
        <v>33</v>
      </c>
      <c r="C112" s="1" t="s">
        <v>11</v>
      </c>
      <c r="D112" s="9" t="n">
        <v>28545</v>
      </c>
      <c r="E112" s="9" t="n">
        <v>16020.18</v>
      </c>
    </row>
    <row r="113" customFormat="false" ht="14.25" hidden="false" customHeight="false" outlineLevel="0" collapsed="false">
      <c r="A113" s="0" t="str">
        <f aca="false">CONCATENATE(Tabela13[[#This Row],[cliente_id]],Tabela13[[#This Row],[mes_ano]])</f>
        <v>S2025-02</v>
      </c>
      <c r="B113" s="1" t="s">
        <v>33</v>
      </c>
      <c r="C113" s="1" t="s">
        <v>12</v>
      </c>
      <c r="D113" s="9" t="n">
        <v>41648</v>
      </c>
      <c r="E113" s="9" t="n">
        <v>29490.26</v>
      </c>
    </row>
    <row r="114" customFormat="false" ht="14.25" hidden="false" customHeight="false" outlineLevel="0" collapsed="false">
      <c r="A114" s="0" t="str">
        <f aca="false">CONCATENATE(Tabela13[[#This Row],[cliente_id]],Tabela13[[#This Row],[mes_ano]])</f>
        <v>S2025-03</v>
      </c>
      <c r="B114" s="1" t="s">
        <v>33</v>
      </c>
      <c r="C114" s="1" t="s">
        <v>13</v>
      </c>
      <c r="D114" s="9" t="n">
        <v>32796</v>
      </c>
      <c r="E114" s="9" t="n">
        <v>18084.97</v>
      </c>
    </row>
    <row r="115" customFormat="false" ht="14.25" hidden="false" customHeight="false" outlineLevel="0" collapsed="false">
      <c r="A115" s="0" t="str">
        <f aca="false">CONCATENATE(Tabela13[[#This Row],[cliente_id]],Tabela13[[#This Row],[mes_ano]])</f>
        <v>S2025-04</v>
      </c>
      <c r="B115" s="1" t="s">
        <v>33</v>
      </c>
      <c r="C115" s="1" t="s">
        <v>14</v>
      </c>
      <c r="D115" s="9" t="n">
        <v>34248</v>
      </c>
      <c r="E115" s="9" t="n">
        <v>24271.84</v>
      </c>
    </row>
    <row r="116" customFormat="false" ht="14.25" hidden="false" customHeight="false" outlineLevel="0" collapsed="false">
      <c r="A116" s="0" t="str">
        <f aca="false">CONCATENATE(Tabela13[[#This Row],[cliente_id]],Tabela13[[#This Row],[mes_ano]])</f>
        <v>S2025-05</v>
      </c>
      <c r="B116" s="1" t="s">
        <v>33</v>
      </c>
      <c r="C116" s="1" t="s">
        <v>15</v>
      </c>
      <c r="D116" s="9" t="n">
        <v>44925</v>
      </c>
      <c r="E116" s="9" t="n">
        <v>29388.29</v>
      </c>
    </row>
    <row r="117" customFormat="false" ht="14.25" hidden="false" customHeight="false" outlineLevel="0" collapsed="false">
      <c r="A117" s="0" t="str">
        <f aca="false">CONCATENATE(Tabela13[[#This Row],[cliente_id]],Tabela13[[#This Row],[mes_ano]])</f>
        <v>T2024-12</v>
      </c>
      <c r="B117" s="1" t="s">
        <v>34</v>
      </c>
      <c r="C117" s="1" t="s">
        <v>10</v>
      </c>
      <c r="D117" s="9" t="n">
        <v>48541</v>
      </c>
      <c r="E117" s="9" t="n">
        <v>36120.78</v>
      </c>
    </row>
    <row r="118" customFormat="false" ht="14.25" hidden="false" customHeight="false" outlineLevel="0" collapsed="false">
      <c r="A118" s="0" t="str">
        <f aca="false">CONCATENATE(Tabela13[[#This Row],[cliente_id]],Tabela13[[#This Row],[mes_ano]])</f>
        <v>T2025-01</v>
      </c>
      <c r="B118" s="1" t="s">
        <v>34</v>
      </c>
      <c r="C118" s="1" t="s">
        <v>11</v>
      </c>
      <c r="D118" s="9" t="n">
        <v>35551</v>
      </c>
      <c r="E118" s="9" t="n">
        <v>17828.69</v>
      </c>
    </row>
    <row r="119" customFormat="false" ht="14.25" hidden="false" customHeight="false" outlineLevel="0" collapsed="false">
      <c r="A119" s="0" t="str">
        <f aca="false">CONCATENATE(Tabela13[[#This Row],[cliente_id]],Tabela13[[#This Row],[mes_ano]])</f>
        <v>T2025-02</v>
      </c>
      <c r="B119" s="1" t="s">
        <v>34</v>
      </c>
      <c r="C119" s="1" t="s">
        <v>12</v>
      </c>
      <c r="D119" s="9" t="n">
        <v>17876</v>
      </c>
      <c r="E119" s="9" t="n">
        <v>9630.52</v>
      </c>
    </row>
    <row r="120" customFormat="false" ht="14.25" hidden="false" customHeight="false" outlineLevel="0" collapsed="false">
      <c r="A120" s="0" t="str">
        <f aca="false">CONCATENATE(Tabela13[[#This Row],[cliente_id]],Tabela13[[#This Row],[mes_ano]])</f>
        <v>T2025-03</v>
      </c>
      <c r="B120" s="1" t="s">
        <v>34</v>
      </c>
      <c r="C120" s="1" t="s">
        <v>13</v>
      </c>
      <c r="D120" s="9" t="n">
        <v>47298</v>
      </c>
      <c r="E120" s="9" t="n">
        <v>33202.06</v>
      </c>
    </row>
    <row r="121" customFormat="false" ht="14.25" hidden="false" customHeight="false" outlineLevel="0" collapsed="false">
      <c r="A121" s="0" t="str">
        <f aca="false">CONCATENATE(Tabela13[[#This Row],[cliente_id]],Tabela13[[#This Row],[mes_ano]])</f>
        <v>T2025-04</v>
      </c>
      <c r="B121" s="1" t="s">
        <v>34</v>
      </c>
      <c r="C121" s="1" t="s">
        <v>14</v>
      </c>
      <c r="D121" s="9" t="n">
        <v>35483</v>
      </c>
      <c r="E121" s="9" t="n">
        <v>21822.63</v>
      </c>
    </row>
    <row r="122" customFormat="false" ht="14.25" hidden="false" customHeight="false" outlineLevel="0" collapsed="false">
      <c r="A122" s="0" t="str">
        <f aca="false">CONCATENATE(Tabela13[[#This Row],[cliente_id]],Tabela13[[#This Row],[mes_ano]])</f>
        <v>T2025-05</v>
      </c>
      <c r="B122" s="1" t="s">
        <v>34</v>
      </c>
      <c r="C122" s="1" t="s">
        <v>15</v>
      </c>
      <c r="D122" s="9" t="n">
        <v>45775</v>
      </c>
      <c r="E122" s="9" t="n">
        <v>24058.34</v>
      </c>
    </row>
    <row r="123" customFormat="false" ht="14.25" hidden="false" customHeight="false" outlineLevel="0" collapsed="false">
      <c r="A123" s="0" t="str">
        <f aca="false">CONCATENATE(Tabela13[[#This Row],[cliente_id]],Tabela13[[#This Row],[mes_ano]])</f>
        <v>U2024-12</v>
      </c>
      <c r="B123" s="1" t="s">
        <v>35</v>
      </c>
      <c r="C123" s="1" t="s">
        <v>10</v>
      </c>
      <c r="D123" s="9" t="n">
        <v>41749</v>
      </c>
      <c r="E123" s="9" t="n">
        <v>22746.78</v>
      </c>
    </row>
    <row r="124" customFormat="false" ht="14.25" hidden="false" customHeight="false" outlineLevel="0" collapsed="false">
      <c r="A124" s="0" t="str">
        <f aca="false">CONCATENATE(Tabela13[[#This Row],[cliente_id]],Tabela13[[#This Row],[mes_ano]])</f>
        <v>U2025-01</v>
      </c>
      <c r="B124" s="1" t="s">
        <v>35</v>
      </c>
      <c r="C124" s="1" t="s">
        <v>11</v>
      </c>
      <c r="D124" s="9" t="n">
        <v>47188</v>
      </c>
      <c r="E124" s="9" t="n">
        <v>26456.58</v>
      </c>
    </row>
    <row r="125" customFormat="false" ht="14.25" hidden="false" customHeight="false" outlineLevel="0" collapsed="false">
      <c r="A125" s="0" t="str">
        <f aca="false">CONCATENATE(Tabela13[[#This Row],[cliente_id]],Tabela13[[#This Row],[mes_ano]])</f>
        <v>U2025-02</v>
      </c>
      <c r="B125" s="1" t="s">
        <v>35</v>
      </c>
      <c r="C125" s="1" t="s">
        <v>12</v>
      </c>
      <c r="D125" s="9" t="n">
        <v>6239</v>
      </c>
      <c r="E125" s="9" t="n">
        <v>3881.52</v>
      </c>
    </row>
    <row r="126" customFormat="false" ht="14.25" hidden="false" customHeight="false" outlineLevel="0" collapsed="false">
      <c r="A126" s="0" t="str">
        <f aca="false">CONCATENATE(Tabela13[[#This Row],[cliente_id]],Tabela13[[#This Row],[mes_ano]])</f>
        <v>U2025-03</v>
      </c>
      <c r="B126" s="1" t="s">
        <v>35</v>
      </c>
      <c r="C126" s="1" t="s">
        <v>13</v>
      </c>
      <c r="D126" s="9" t="n">
        <v>25102</v>
      </c>
      <c r="E126" s="9" t="n">
        <v>12979.96</v>
      </c>
    </row>
    <row r="127" customFormat="false" ht="14.25" hidden="false" customHeight="false" outlineLevel="0" collapsed="false">
      <c r="A127" s="0" t="str">
        <f aca="false">CONCATENATE(Tabela13[[#This Row],[cliente_id]],Tabela13[[#This Row],[mes_ano]])</f>
        <v>U2025-04</v>
      </c>
      <c r="B127" s="1" t="s">
        <v>35</v>
      </c>
      <c r="C127" s="1" t="s">
        <v>14</v>
      </c>
      <c r="D127" s="9" t="n">
        <v>47907</v>
      </c>
      <c r="E127" s="9" t="n">
        <v>26995.23</v>
      </c>
    </row>
    <row r="128" customFormat="false" ht="14.25" hidden="false" customHeight="false" outlineLevel="0" collapsed="false">
      <c r="A128" s="0" t="str">
        <f aca="false">CONCATENATE(Tabela13[[#This Row],[cliente_id]],Tabela13[[#This Row],[mes_ano]])</f>
        <v>U2025-05</v>
      </c>
      <c r="B128" s="1" t="s">
        <v>35</v>
      </c>
      <c r="C128" s="1" t="s">
        <v>15</v>
      </c>
      <c r="D128" s="9" t="n">
        <v>32310</v>
      </c>
      <c r="E128" s="9" t="n">
        <v>22971.5</v>
      </c>
    </row>
    <row r="129" customFormat="false" ht="14.25" hidden="false" customHeight="false" outlineLevel="0" collapsed="false">
      <c r="A129" s="0" t="str">
        <f aca="false">CONCATENATE(Tabela13[[#This Row],[cliente_id]],Tabela13[[#This Row],[mes_ano]])</f>
        <v>V2024-12</v>
      </c>
      <c r="B129" s="1" t="s">
        <v>36</v>
      </c>
      <c r="C129" s="1" t="s">
        <v>10</v>
      </c>
      <c r="D129" s="9" t="n">
        <v>20008</v>
      </c>
      <c r="E129" s="9" t="n">
        <v>14046.47</v>
      </c>
    </row>
    <row r="130" customFormat="false" ht="14.25" hidden="false" customHeight="false" outlineLevel="0" collapsed="false">
      <c r="A130" s="0" t="str">
        <f aca="false">CONCATENATE(Tabela13[[#This Row],[cliente_id]],Tabela13[[#This Row],[mes_ano]])</f>
        <v>V2025-01</v>
      </c>
      <c r="B130" s="1" t="s">
        <v>36</v>
      </c>
      <c r="C130" s="1" t="s">
        <v>11</v>
      </c>
      <c r="D130" s="9" t="n">
        <v>43449</v>
      </c>
      <c r="E130" s="9" t="n">
        <v>34223.31</v>
      </c>
    </row>
    <row r="131" customFormat="false" ht="14.25" hidden="false" customHeight="false" outlineLevel="0" collapsed="false">
      <c r="A131" s="0" t="str">
        <f aca="false">CONCATENATE(Tabela13[[#This Row],[cliente_id]],Tabela13[[#This Row],[mes_ano]])</f>
        <v>V2025-02</v>
      </c>
      <c r="B131" s="1" t="s">
        <v>36</v>
      </c>
      <c r="C131" s="1" t="s">
        <v>12</v>
      </c>
      <c r="D131" s="9" t="n">
        <v>31682</v>
      </c>
      <c r="E131" s="9" t="n">
        <v>18524.57</v>
      </c>
    </row>
    <row r="132" customFormat="false" ht="14.25" hidden="false" customHeight="false" outlineLevel="0" collapsed="false">
      <c r="A132" s="0" t="str">
        <f aca="false">CONCATENATE(Tabela13[[#This Row],[cliente_id]],Tabela13[[#This Row],[mes_ano]])</f>
        <v>V2025-03</v>
      </c>
      <c r="B132" s="1" t="s">
        <v>36</v>
      </c>
      <c r="C132" s="1" t="s">
        <v>13</v>
      </c>
      <c r="D132" s="9" t="n">
        <v>48767</v>
      </c>
      <c r="E132" s="9" t="n">
        <v>27985.18</v>
      </c>
    </row>
    <row r="133" customFormat="false" ht="14.25" hidden="false" customHeight="false" outlineLevel="0" collapsed="false">
      <c r="A133" s="0" t="str">
        <f aca="false">CONCATENATE(Tabela13[[#This Row],[cliente_id]],Tabela13[[#This Row],[mes_ano]])</f>
        <v>V2025-04</v>
      </c>
      <c r="B133" s="1" t="s">
        <v>36</v>
      </c>
      <c r="C133" s="1" t="s">
        <v>14</v>
      </c>
      <c r="D133" s="9" t="n">
        <v>37251</v>
      </c>
      <c r="E133" s="9" t="n">
        <v>24543.64</v>
      </c>
    </row>
    <row r="134" customFormat="false" ht="14.25" hidden="false" customHeight="false" outlineLevel="0" collapsed="false">
      <c r="A134" s="0" t="str">
        <f aca="false">CONCATENATE(Tabela13[[#This Row],[cliente_id]],Tabela13[[#This Row],[mes_ano]])</f>
        <v>V2025-05</v>
      </c>
      <c r="B134" s="1" t="s">
        <v>36</v>
      </c>
      <c r="C134" s="1" t="s">
        <v>15</v>
      </c>
      <c r="D134" s="9" t="n">
        <v>22468</v>
      </c>
      <c r="E134" s="9" t="n">
        <v>14987.05</v>
      </c>
    </row>
    <row r="135" customFormat="false" ht="14.25" hidden="false" customHeight="false" outlineLevel="0" collapsed="false">
      <c r="A135" s="0" t="str">
        <f aca="false">CONCATENATE(Tabela13[[#This Row],[cliente_id]],Tabela13[[#This Row],[mes_ano]])</f>
        <v>X2024-12</v>
      </c>
      <c r="B135" s="1" t="s">
        <v>37</v>
      </c>
      <c r="C135" s="1" t="s">
        <v>10</v>
      </c>
      <c r="D135" s="9" t="n">
        <v>46567</v>
      </c>
      <c r="E135" s="9" t="n">
        <v>29089.37</v>
      </c>
    </row>
    <row r="136" customFormat="false" ht="14.25" hidden="false" customHeight="false" outlineLevel="0" collapsed="false">
      <c r="A136" s="0" t="str">
        <f aca="false">CONCATENATE(Tabela13[[#This Row],[cliente_id]],Tabela13[[#This Row],[mes_ano]])</f>
        <v>X2025-01</v>
      </c>
      <c r="B136" s="1" t="s">
        <v>37</v>
      </c>
      <c r="C136" s="1" t="s">
        <v>11</v>
      </c>
      <c r="D136" s="9" t="n">
        <v>6613</v>
      </c>
      <c r="E136" s="9" t="n">
        <v>3705.14</v>
      </c>
    </row>
    <row r="137" customFormat="false" ht="14.25" hidden="false" customHeight="false" outlineLevel="0" collapsed="false">
      <c r="A137" s="0" t="str">
        <f aca="false">CONCATENATE(Tabela13[[#This Row],[cliente_id]],Tabela13[[#This Row],[mes_ano]])</f>
        <v>X2025-02</v>
      </c>
      <c r="B137" s="1" t="s">
        <v>37</v>
      </c>
      <c r="C137" s="1" t="s">
        <v>12</v>
      </c>
      <c r="D137" s="9" t="n">
        <v>46185</v>
      </c>
      <c r="E137" s="9" t="n">
        <v>36169.87</v>
      </c>
    </row>
    <row r="138" customFormat="false" ht="14.25" hidden="false" customHeight="false" outlineLevel="0" collapsed="false">
      <c r="A138" s="0" t="str">
        <f aca="false">CONCATENATE(Tabela13[[#This Row],[cliente_id]],Tabela13[[#This Row],[mes_ano]])</f>
        <v>X2025-03</v>
      </c>
      <c r="B138" s="1" t="s">
        <v>37</v>
      </c>
      <c r="C138" s="1" t="s">
        <v>13</v>
      </c>
      <c r="D138" s="9" t="n">
        <v>13135</v>
      </c>
      <c r="E138" s="9" t="n">
        <v>8305.43</v>
      </c>
    </row>
    <row r="139" customFormat="false" ht="14.25" hidden="false" customHeight="false" outlineLevel="0" collapsed="false">
      <c r="A139" s="0" t="str">
        <f aca="false">CONCATENATE(Tabela13[[#This Row],[cliente_id]],Tabela13[[#This Row],[mes_ano]])</f>
        <v>X2025-04</v>
      </c>
      <c r="B139" s="1" t="s">
        <v>37</v>
      </c>
      <c r="C139" s="1" t="s">
        <v>14</v>
      </c>
      <c r="D139" s="9" t="n">
        <v>24902</v>
      </c>
      <c r="E139" s="9" t="n">
        <v>18556.7</v>
      </c>
    </row>
    <row r="140" customFormat="false" ht="14.25" hidden="false" customHeight="false" outlineLevel="0" collapsed="false">
      <c r="A140" s="0" t="str">
        <f aca="false">CONCATENATE(Tabela13[[#This Row],[cliente_id]],Tabela13[[#This Row],[mes_ano]])</f>
        <v>X2025-05</v>
      </c>
      <c r="B140" s="1" t="s">
        <v>37</v>
      </c>
      <c r="C140" s="1" t="s">
        <v>15</v>
      </c>
      <c r="D140" s="9" t="n">
        <v>21992</v>
      </c>
      <c r="E140" s="9" t="n">
        <v>13248.44</v>
      </c>
    </row>
    <row r="141" customFormat="false" ht="14.25" hidden="false" customHeight="false" outlineLevel="0" collapsed="false">
      <c r="A141" s="0" t="str">
        <f aca="false">CONCATENATE(Tabela13[[#This Row],[cliente_id]],Tabela13[[#This Row],[mes_ano]])</f>
        <v>W2024-12</v>
      </c>
      <c r="B141" s="1" t="s">
        <v>38</v>
      </c>
      <c r="C141" s="1" t="s">
        <v>10</v>
      </c>
      <c r="D141" s="9" t="n">
        <v>43954</v>
      </c>
      <c r="E141" s="9" t="n">
        <v>23015.58</v>
      </c>
    </row>
    <row r="142" customFormat="false" ht="14.25" hidden="false" customHeight="false" outlineLevel="0" collapsed="false">
      <c r="A142" s="0" t="str">
        <f aca="false">CONCATENATE(Tabela13[[#This Row],[cliente_id]],Tabela13[[#This Row],[mes_ano]])</f>
        <v>W2025-01</v>
      </c>
      <c r="B142" s="1" t="s">
        <v>38</v>
      </c>
      <c r="C142" s="1" t="s">
        <v>11</v>
      </c>
      <c r="D142" s="9" t="n">
        <v>17602</v>
      </c>
      <c r="E142" s="9" t="n">
        <v>10768.44</v>
      </c>
    </row>
    <row r="143" customFormat="false" ht="14.25" hidden="false" customHeight="false" outlineLevel="0" collapsed="false">
      <c r="A143" s="0" t="str">
        <f aca="false">CONCATENATE(Tabela13[[#This Row],[cliente_id]],Tabela13[[#This Row],[mes_ano]])</f>
        <v>W2025-02</v>
      </c>
      <c r="B143" s="1" t="s">
        <v>38</v>
      </c>
      <c r="C143" s="1" t="s">
        <v>12</v>
      </c>
      <c r="D143" s="9" t="n">
        <v>49685</v>
      </c>
      <c r="E143" s="9" t="n">
        <v>28990.56</v>
      </c>
    </row>
    <row r="144" customFormat="false" ht="14.25" hidden="false" customHeight="false" outlineLevel="0" collapsed="false">
      <c r="A144" s="0" t="str">
        <f aca="false">CONCATENATE(Tabela13[[#This Row],[cliente_id]],Tabela13[[#This Row],[mes_ano]])</f>
        <v>W2025-03</v>
      </c>
      <c r="B144" s="1" t="s">
        <v>38</v>
      </c>
      <c r="C144" s="1" t="s">
        <v>13</v>
      </c>
      <c r="D144" s="9" t="n">
        <v>42082</v>
      </c>
      <c r="E144" s="9" t="n">
        <v>29531.18</v>
      </c>
    </row>
    <row r="145" customFormat="false" ht="14.25" hidden="false" customHeight="false" outlineLevel="0" collapsed="false">
      <c r="A145" s="0" t="str">
        <f aca="false">CONCATENATE(Tabela13[[#This Row],[cliente_id]],Tabela13[[#This Row],[mes_ano]])</f>
        <v>W2025-04</v>
      </c>
      <c r="B145" s="1" t="s">
        <v>38</v>
      </c>
      <c r="C145" s="1" t="s">
        <v>14</v>
      </c>
      <c r="D145" s="9" t="n">
        <v>43161</v>
      </c>
      <c r="E145" s="9" t="n">
        <v>28077.29</v>
      </c>
    </row>
    <row r="146" customFormat="false" ht="14.25" hidden="false" customHeight="false" outlineLevel="0" collapsed="false">
      <c r="A146" s="0" t="str">
        <f aca="false">CONCATENATE(Tabela13[[#This Row],[cliente_id]],Tabela13[[#This Row],[mes_ano]])</f>
        <v>W2025-05</v>
      </c>
      <c r="B146" s="1" t="s">
        <v>38</v>
      </c>
      <c r="C146" s="1" t="s">
        <v>15</v>
      </c>
      <c r="D146" s="9" t="n">
        <v>36095</v>
      </c>
      <c r="E146" s="9" t="n">
        <v>19061.56</v>
      </c>
    </row>
    <row r="147" customFormat="false" ht="14.25" hidden="false" customHeight="false" outlineLevel="0" collapsed="false">
      <c r="A147" s="0" t="str">
        <f aca="false">CONCATENATE(Tabela13[[#This Row],[cliente_id]],Tabela13[[#This Row],[mes_ano]])</f>
        <v>Y2024-12</v>
      </c>
      <c r="B147" s="1" t="s">
        <v>39</v>
      </c>
      <c r="C147" s="1" t="s">
        <v>10</v>
      </c>
      <c r="D147" s="9" t="n">
        <v>11107</v>
      </c>
      <c r="E147" s="9" t="n">
        <v>7488.07</v>
      </c>
    </row>
    <row r="148" customFormat="false" ht="14.25" hidden="false" customHeight="false" outlineLevel="0" collapsed="false">
      <c r="A148" s="0" t="str">
        <f aca="false">CONCATENATE(Tabela13[[#This Row],[cliente_id]],Tabela13[[#This Row],[mes_ano]])</f>
        <v>Y2025-01</v>
      </c>
      <c r="B148" s="1" t="s">
        <v>39</v>
      </c>
      <c r="C148" s="1" t="s">
        <v>11</v>
      </c>
      <c r="D148" s="9" t="n">
        <v>26020</v>
      </c>
      <c r="E148" s="9" t="n">
        <v>19148.64</v>
      </c>
    </row>
    <row r="149" customFormat="false" ht="14.25" hidden="false" customHeight="false" outlineLevel="0" collapsed="false">
      <c r="A149" s="0" t="str">
        <f aca="false">CONCATENATE(Tabela13[[#This Row],[cliente_id]],Tabela13[[#This Row],[mes_ano]])</f>
        <v>Y2025-02</v>
      </c>
      <c r="B149" s="1" t="s">
        <v>39</v>
      </c>
      <c r="C149" s="1" t="s">
        <v>12</v>
      </c>
      <c r="D149" s="9" t="n">
        <v>25224</v>
      </c>
      <c r="E149" s="9" t="n">
        <v>19123.69</v>
      </c>
    </row>
    <row r="150" customFormat="false" ht="14.25" hidden="false" customHeight="false" outlineLevel="0" collapsed="false">
      <c r="A150" s="0" t="str">
        <f aca="false">CONCATENATE(Tabela13[[#This Row],[cliente_id]],Tabela13[[#This Row],[mes_ano]])</f>
        <v>Y2025-03</v>
      </c>
      <c r="B150" s="1" t="s">
        <v>39</v>
      </c>
      <c r="C150" s="1" t="s">
        <v>13</v>
      </c>
      <c r="D150" s="9" t="n">
        <v>20585</v>
      </c>
      <c r="E150" s="9" t="n">
        <v>15216.51</v>
      </c>
    </row>
    <row r="151" customFormat="false" ht="14.25" hidden="false" customHeight="false" outlineLevel="0" collapsed="false">
      <c r="A151" s="0" t="str">
        <f aca="false">CONCATENATE(Tabela13[[#This Row],[cliente_id]],Tabela13[[#This Row],[mes_ano]])</f>
        <v>Y2025-04</v>
      </c>
      <c r="B151" s="1" t="s">
        <v>39</v>
      </c>
      <c r="C151" s="1" t="s">
        <v>14</v>
      </c>
      <c r="D151" s="9" t="n">
        <v>45898</v>
      </c>
      <c r="E151" s="9" t="n">
        <v>32565.43</v>
      </c>
    </row>
    <row r="152" customFormat="false" ht="14.25" hidden="false" customHeight="false" outlineLevel="0" collapsed="false">
      <c r="A152" s="0" t="str">
        <f aca="false">CONCATENATE(Tabela13[[#This Row],[cliente_id]],Tabela13[[#This Row],[mes_ano]])</f>
        <v>Y2025-05</v>
      </c>
      <c r="B152" s="1" t="s">
        <v>39</v>
      </c>
      <c r="C152" s="1" t="s">
        <v>15</v>
      </c>
      <c r="D152" s="9" t="n">
        <v>9265</v>
      </c>
      <c r="E152" s="9" t="n">
        <v>7037.71</v>
      </c>
    </row>
    <row r="153" customFormat="false" ht="14.25" hidden="false" customHeight="false" outlineLevel="0" collapsed="false">
      <c r="A153" s="0" t="str">
        <f aca="false">CONCATENATE(Tabela13[[#This Row],[cliente_id]],Tabela13[[#This Row],[mes_ano]])</f>
        <v>Z2024-12</v>
      </c>
      <c r="B153" s="1" t="s">
        <v>40</v>
      </c>
      <c r="C153" s="1" t="s">
        <v>10</v>
      </c>
      <c r="D153" s="9" t="n">
        <v>7187</v>
      </c>
      <c r="E153" s="9" t="n">
        <v>5587.8</v>
      </c>
    </row>
    <row r="154" customFormat="false" ht="14.25" hidden="false" customHeight="false" outlineLevel="0" collapsed="false">
      <c r="A154" s="0" t="str">
        <f aca="false">CONCATENATE(Tabela13[[#This Row],[cliente_id]],Tabela13[[#This Row],[mes_ano]])</f>
        <v>Z2025-01</v>
      </c>
      <c r="B154" s="1" t="s">
        <v>40</v>
      </c>
      <c r="C154" s="1" t="s">
        <v>11</v>
      </c>
      <c r="D154" s="9" t="n">
        <v>41871</v>
      </c>
      <c r="E154" s="9" t="n">
        <v>30230.08</v>
      </c>
    </row>
    <row r="155" customFormat="false" ht="14.25" hidden="false" customHeight="false" outlineLevel="0" collapsed="false">
      <c r="A155" s="0" t="str">
        <f aca="false">CONCATENATE(Tabela13[[#This Row],[cliente_id]],Tabela13[[#This Row],[mes_ano]])</f>
        <v>Z2025-02</v>
      </c>
      <c r="B155" s="1" t="s">
        <v>40</v>
      </c>
      <c r="C155" s="1" t="s">
        <v>12</v>
      </c>
      <c r="D155" s="9" t="n">
        <v>11067</v>
      </c>
      <c r="E155" s="9" t="n">
        <v>5741.22</v>
      </c>
    </row>
    <row r="156" customFormat="false" ht="14.25" hidden="false" customHeight="false" outlineLevel="0" collapsed="false">
      <c r="A156" s="0" t="str">
        <f aca="false">CONCATENATE(Tabela13[[#This Row],[cliente_id]],Tabela13[[#This Row],[mes_ano]])</f>
        <v>Z2025-03</v>
      </c>
      <c r="B156" s="1" t="s">
        <v>40</v>
      </c>
      <c r="C156" s="1" t="s">
        <v>13</v>
      </c>
      <c r="D156" s="9" t="n">
        <v>6830</v>
      </c>
      <c r="E156" s="9" t="n">
        <v>4184.37</v>
      </c>
    </row>
    <row r="157" customFormat="false" ht="14.25" hidden="false" customHeight="false" outlineLevel="0" collapsed="false">
      <c r="A157" s="0" t="str">
        <f aca="false">CONCATENATE(Tabela13[[#This Row],[cliente_id]],Tabela13[[#This Row],[mes_ano]])</f>
        <v>Z2025-04</v>
      </c>
      <c r="B157" s="1" t="s">
        <v>40</v>
      </c>
      <c r="C157" s="1" t="s">
        <v>14</v>
      </c>
      <c r="D157" s="9" t="n">
        <v>40235</v>
      </c>
      <c r="E157" s="9" t="n">
        <v>23150.44</v>
      </c>
    </row>
    <row r="158" customFormat="false" ht="14.25" hidden="false" customHeight="false" outlineLevel="0" collapsed="false">
      <c r="A158" s="0" t="str">
        <f aca="false">CONCATENATE(Tabela13[[#This Row],[cliente_id]],Tabela13[[#This Row],[mes_ano]])</f>
        <v>Z2025-05</v>
      </c>
      <c r="B158" s="1" t="s">
        <v>40</v>
      </c>
      <c r="C158" s="1" t="s">
        <v>15</v>
      </c>
      <c r="D158" s="9" t="n">
        <v>35425</v>
      </c>
      <c r="E158" s="9" t="n">
        <v>21884.63</v>
      </c>
    </row>
    <row r="159" customFormat="false" ht="14.25" hidden="false" customHeight="false" outlineLevel="0" collapsed="false">
      <c r="A159" s="0" t="str">
        <f aca="false">CONCATENATE(Tabela13[[#This Row],[cliente_id]],Tabela13[[#This Row],[mes_ano]])</f>
        <v>AA2024-12</v>
      </c>
      <c r="B159" s="1" t="s">
        <v>41</v>
      </c>
      <c r="C159" s="1" t="s">
        <v>10</v>
      </c>
      <c r="D159" s="9" t="n">
        <v>28969</v>
      </c>
      <c r="E159" s="9" t="n">
        <v>20582.7</v>
      </c>
    </row>
    <row r="160" customFormat="false" ht="14.25" hidden="false" customHeight="false" outlineLevel="0" collapsed="false">
      <c r="A160" s="0" t="str">
        <f aca="false">CONCATENATE(Tabela13[[#This Row],[cliente_id]],Tabela13[[#This Row],[mes_ano]])</f>
        <v>AA2025-01</v>
      </c>
      <c r="B160" s="1" t="s">
        <v>41</v>
      </c>
      <c r="C160" s="1" t="s">
        <v>11</v>
      </c>
      <c r="D160" s="9" t="n">
        <v>2386</v>
      </c>
      <c r="E160" s="9" t="n">
        <v>1690.13</v>
      </c>
    </row>
    <row r="161" customFormat="false" ht="14.25" hidden="false" customHeight="false" outlineLevel="0" collapsed="false">
      <c r="A161" s="0" t="str">
        <f aca="false">CONCATENATE(Tabela13[[#This Row],[cliente_id]],Tabela13[[#This Row],[mes_ano]])</f>
        <v>AA2025-02</v>
      </c>
      <c r="B161" s="1" t="s">
        <v>41</v>
      </c>
      <c r="C161" s="1" t="s">
        <v>12</v>
      </c>
      <c r="D161" s="9" t="n">
        <v>40838</v>
      </c>
      <c r="E161" s="9" t="n">
        <v>23362.16</v>
      </c>
    </row>
    <row r="162" customFormat="false" ht="14.25" hidden="false" customHeight="false" outlineLevel="0" collapsed="false">
      <c r="A162" s="0" t="str">
        <f aca="false">CONCATENATE(Tabela13[[#This Row],[cliente_id]],Tabela13[[#This Row],[mes_ano]])</f>
        <v>AA2025-03</v>
      </c>
      <c r="B162" s="1" t="s">
        <v>41</v>
      </c>
      <c r="C162" s="1" t="s">
        <v>13</v>
      </c>
      <c r="D162" s="9" t="n">
        <v>8978</v>
      </c>
      <c r="E162" s="9" t="n">
        <v>5112.78</v>
      </c>
    </row>
    <row r="163" customFormat="false" ht="14.25" hidden="false" customHeight="false" outlineLevel="0" collapsed="false">
      <c r="A163" s="0" t="str">
        <f aca="false">CONCATENATE(Tabela13[[#This Row],[cliente_id]],Tabela13[[#This Row],[mes_ano]])</f>
        <v>AA2025-04</v>
      </c>
      <c r="B163" s="1" t="s">
        <v>41</v>
      </c>
      <c r="C163" s="1" t="s">
        <v>14</v>
      </c>
      <c r="D163" s="9" t="n">
        <v>27839</v>
      </c>
      <c r="E163" s="9" t="n">
        <v>17335.05</v>
      </c>
    </row>
    <row r="164" customFormat="false" ht="14.25" hidden="false" customHeight="false" outlineLevel="0" collapsed="false">
      <c r="A164" s="0" t="str">
        <f aca="false">CONCATENATE(Tabela13[[#This Row],[cliente_id]],Tabela13[[#This Row],[mes_ano]])</f>
        <v>AA2025-05</v>
      </c>
      <c r="B164" s="1" t="s">
        <v>41</v>
      </c>
      <c r="C164" s="1" t="s">
        <v>15</v>
      </c>
      <c r="D164" s="9" t="n">
        <v>39248</v>
      </c>
      <c r="E164" s="9" t="n">
        <v>22489.65</v>
      </c>
    </row>
    <row r="165" customFormat="false" ht="14.25" hidden="false" customHeight="false" outlineLevel="0" collapsed="false">
      <c r="A165" s="0" t="str">
        <f aca="false">CONCATENATE(Tabela13[[#This Row],[cliente_id]],Tabela13[[#This Row],[mes_ano]])</f>
        <v>AB2024-12</v>
      </c>
      <c r="B165" s="1" t="s">
        <v>42</v>
      </c>
      <c r="C165" s="1" t="s">
        <v>10</v>
      </c>
      <c r="D165" s="9" t="n">
        <v>23771</v>
      </c>
      <c r="E165" s="9" t="n">
        <v>18909.58</v>
      </c>
    </row>
    <row r="166" customFormat="false" ht="14.25" hidden="false" customHeight="false" outlineLevel="0" collapsed="false">
      <c r="A166" s="0" t="str">
        <f aca="false">CONCATENATE(Tabela13[[#This Row],[cliente_id]],Tabela13[[#This Row],[mes_ano]])</f>
        <v>AB2025-01</v>
      </c>
      <c r="B166" s="1" t="s">
        <v>42</v>
      </c>
      <c r="C166" s="1" t="s">
        <v>11</v>
      </c>
      <c r="D166" s="9" t="n">
        <v>34600</v>
      </c>
      <c r="E166" s="9" t="n">
        <v>27023.13</v>
      </c>
    </row>
    <row r="167" customFormat="false" ht="14.25" hidden="false" customHeight="false" outlineLevel="0" collapsed="false">
      <c r="A167" s="0" t="str">
        <f aca="false">CONCATENATE(Tabela13[[#This Row],[cliente_id]],Tabela13[[#This Row],[mes_ano]])</f>
        <v>AB2025-02</v>
      </c>
      <c r="B167" s="1" t="s">
        <v>42</v>
      </c>
      <c r="C167" s="1" t="s">
        <v>12</v>
      </c>
      <c r="D167" s="9" t="n">
        <v>22016</v>
      </c>
      <c r="E167" s="9" t="n">
        <v>14173.99</v>
      </c>
    </row>
    <row r="168" customFormat="false" ht="14.25" hidden="false" customHeight="false" outlineLevel="0" collapsed="false">
      <c r="A168" s="0" t="str">
        <f aca="false">CONCATENATE(Tabela13[[#This Row],[cliente_id]],Tabela13[[#This Row],[mes_ano]])</f>
        <v>AB2025-03</v>
      </c>
      <c r="B168" s="1" t="s">
        <v>42</v>
      </c>
      <c r="C168" s="1" t="s">
        <v>13</v>
      </c>
      <c r="D168" s="9" t="n">
        <v>8422</v>
      </c>
      <c r="E168" s="9" t="n">
        <v>4549.87</v>
      </c>
    </row>
    <row r="169" customFormat="false" ht="14.25" hidden="false" customHeight="false" outlineLevel="0" collapsed="false">
      <c r="A169" s="0" t="str">
        <f aca="false">CONCATENATE(Tabela13[[#This Row],[cliente_id]],Tabela13[[#This Row],[mes_ano]])</f>
        <v>AB2025-04</v>
      </c>
      <c r="B169" s="1" t="s">
        <v>42</v>
      </c>
      <c r="C169" s="1" t="s">
        <v>14</v>
      </c>
      <c r="D169" s="9" t="n">
        <v>30851</v>
      </c>
      <c r="E169" s="9" t="n">
        <v>17088.32</v>
      </c>
    </row>
    <row r="170" customFormat="false" ht="14.25" hidden="false" customHeight="false" outlineLevel="0" collapsed="false">
      <c r="A170" s="0" t="str">
        <f aca="false">CONCATENATE(Tabela13[[#This Row],[cliente_id]],Tabela13[[#This Row],[mes_ano]])</f>
        <v>AB2025-05</v>
      </c>
      <c r="B170" s="1" t="s">
        <v>42</v>
      </c>
      <c r="C170" s="1" t="s">
        <v>15</v>
      </c>
      <c r="D170" s="9" t="n">
        <v>10593</v>
      </c>
      <c r="E170" s="9" t="n">
        <v>5393.04</v>
      </c>
    </row>
    <row r="171" customFormat="false" ht="14.25" hidden="false" customHeight="false" outlineLevel="0" collapsed="false">
      <c r="A171" s="0" t="str">
        <f aca="false">CONCATENATE(Tabela13[[#This Row],[cliente_id]],Tabela13[[#This Row],[mes_ano]])</f>
        <v>AC2024-12</v>
      </c>
      <c r="B171" s="1" t="s">
        <v>43</v>
      </c>
      <c r="C171" s="1" t="s">
        <v>10</v>
      </c>
      <c r="D171" s="9" t="n">
        <v>39501</v>
      </c>
      <c r="E171" s="9" t="n">
        <v>21731.37</v>
      </c>
    </row>
    <row r="172" customFormat="false" ht="14.25" hidden="false" customHeight="false" outlineLevel="0" collapsed="false">
      <c r="A172" s="0" t="str">
        <f aca="false">CONCATENATE(Tabela13[[#This Row],[cliente_id]],Tabela13[[#This Row],[mes_ano]])</f>
        <v>AC2025-01</v>
      </c>
      <c r="B172" s="1" t="s">
        <v>43</v>
      </c>
      <c r="C172" s="1" t="s">
        <v>11</v>
      </c>
      <c r="D172" s="9" t="n">
        <v>34417</v>
      </c>
      <c r="E172" s="9" t="n">
        <v>21307.68</v>
      </c>
    </row>
    <row r="173" customFormat="false" ht="14.25" hidden="false" customHeight="false" outlineLevel="0" collapsed="false">
      <c r="A173" s="0" t="str">
        <f aca="false">CONCATENATE(Tabela13[[#This Row],[cliente_id]],Tabela13[[#This Row],[mes_ano]])</f>
        <v>AC2025-02</v>
      </c>
      <c r="B173" s="1" t="s">
        <v>43</v>
      </c>
      <c r="C173" s="1" t="s">
        <v>12</v>
      </c>
      <c r="D173" s="9" t="n">
        <v>21078</v>
      </c>
      <c r="E173" s="9" t="n">
        <v>16782.36</v>
      </c>
    </row>
    <row r="174" customFormat="false" ht="14.25" hidden="false" customHeight="false" outlineLevel="0" collapsed="false">
      <c r="A174" s="0" t="str">
        <f aca="false">CONCATENATE(Tabela13[[#This Row],[cliente_id]],Tabela13[[#This Row],[mes_ano]])</f>
        <v>AC2025-03</v>
      </c>
      <c r="B174" s="1" t="s">
        <v>43</v>
      </c>
      <c r="C174" s="1" t="s">
        <v>13</v>
      </c>
      <c r="D174" s="9" t="n">
        <v>33430</v>
      </c>
      <c r="E174" s="9" t="n">
        <v>22323.15</v>
      </c>
    </row>
    <row r="175" customFormat="false" ht="14.25" hidden="false" customHeight="false" outlineLevel="0" collapsed="false">
      <c r="A175" s="0" t="str">
        <f aca="false">CONCATENATE(Tabela13[[#This Row],[cliente_id]],Tabela13[[#This Row],[mes_ano]])</f>
        <v>AC2025-04</v>
      </c>
      <c r="B175" s="1" t="s">
        <v>43</v>
      </c>
      <c r="C175" s="1" t="s">
        <v>14</v>
      </c>
      <c r="D175" s="9" t="n">
        <v>43196</v>
      </c>
      <c r="E175" s="9" t="n">
        <v>28280.79</v>
      </c>
    </row>
    <row r="176" customFormat="false" ht="14.25" hidden="false" customHeight="false" outlineLevel="0" collapsed="false">
      <c r="A176" s="0" t="str">
        <f aca="false">CONCATENATE(Tabela13[[#This Row],[cliente_id]],Tabela13[[#This Row],[mes_ano]])</f>
        <v>AC2025-05</v>
      </c>
      <c r="B176" s="1" t="s">
        <v>43</v>
      </c>
      <c r="C176" s="1" t="s">
        <v>15</v>
      </c>
      <c r="D176" s="9" t="n">
        <v>40074</v>
      </c>
      <c r="E176" s="9" t="n">
        <v>28216.23</v>
      </c>
    </row>
    <row r="177" customFormat="false" ht="14.25" hidden="false" customHeight="false" outlineLevel="0" collapsed="false">
      <c r="A177" s="0" t="str">
        <f aca="false">CONCATENATE(Tabela13[[#This Row],[cliente_id]],Tabela13[[#This Row],[mes_ano]])</f>
        <v>AD2024-12</v>
      </c>
      <c r="B177" s="1" t="s">
        <v>44</v>
      </c>
      <c r="C177" s="1" t="s">
        <v>10</v>
      </c>
      <c r="D177" s="9" t="n">
        <v>15094</v>
      </c>
      <c r="E177" s="9" t="n">
        <v>9779.62</v>
      </c>
    </row>
    <row r="178" customFormat="false" ht="14.25" hidden="false" customHeight="false" outlineLevel="0" collapsed="false">
      <c r="A178" s="0" t="str">
        <f aca="false">CONCATENATE(Tabela13[[#This Row],[cliente_id]],Tabela13[[#This Row],[mes_ano]])</f>
        <v>AD2025-01</v>
      </c>
      <c r="B178" s="1" t="s">
        <v>44</v>
      </c>
      <c r="C178" s="1" t="s">
        <v>11</v>
      </c>
      <c r="D178" s="9" t="n">
        <v>18751</v>
      </c>
      <c r="E178" s="9" t="n">
        <v>12296.08</v>
      </c>
    </row>
    <row r="179" customFormat="false" ht="14.25" hidden="false" customHeight="false" outlineLevel="0" collapsed="false">
      <c r="A179" s="0" t="str">
        <f aca="false">CONCATENATE(Tabela13[[#This Row],[cliente_id]],Tabela13[[#This Row],[mes_ano]])</f>
        <v>AD2025-02</v>
      </c>
      <c r="B179" s="1" t="s">
        <v>44</v>
      </c>
      <c r="C179" s="1" t="s">
        <v>12</v>
      </c>
      <c r="D179" s="9" t="n">
        <v>21586</v>
      </c>
      <c r="E179" s="9" t="n">
        <v>14257.13</v>
      </c>
    </row>
    <row r="180" customFormat="false" ht="14.25" hidden="false" customHeight="false" outlineLevel="0" collapsed="false">
      <c r="A180" s="0" t="str">
        <f aca="false">CONCATENATE(Tabela13[[#This Row],[cliente_id]],Tabela13[[#This Row],[mes_ano]])</f>
        <v>AD2025-03</v>
      </c>
      <c r="B180" s="1" t="s">
        <v>44</v>
      </c>
      <c r="C180" s="1" t="s">
        <v>13</v>
      </c>
      <c r="D180" s="9" t="n">
        <v>48315</v>
      </c>
      <c r="E180" s="9" t="n">
        <v>27348.19</v>
      </c>
    </row>
    <row r="181" customFormat="false" ht="14.25" hidden="false" customHeight="false" outlineLevel="0" collapsed="false">
      <c r="A181" s="0" t="str">
        <f aca="false">CONCATENATE(Tabela13[[#This Row],[cliente_id]],Tabela13[[#This Row],[mes_ano]])</f>
        <v>AD2025-04</v>
      </c>
      <c r="B181" s="1" t="s">
        <v>44</v>
      </c>
      <c r="C181" s="1" t="s">
        <v>14</v>
      </c>
      <c r="D181" s="9" t="n">
        <v>7391</v>
      </c>
      <c r="E181" s="9" t="n">
        <v>4785.66</v>
      </c>
    </row>
    <row r="182" customFormat="false" ht="14.25" hidden="false" customHeight="false" outlineLevel="0" collapsed="false">
      <c r="A182" s="0" t="str">
        <f aca="false">CONCATENATE(Tabela13[[#This Row],[cliente_id]],Tabela13[[#This Row],[mes_ano]])</f>
        <v>AD2025-05</v>
      </c>
      <c r="B182" s="1" t="s">
        <v>44</v>
      </c>
      <c r="C182" s="1" t="s">
        <v>15</v>
      </c>
      <c r="D182" s="9" t="n">
        <v>40885</v>
      </c>
      <c r="E182" s="9" t="n">
        <v>25475.49</v>
      </c>
    </row>
    <row r="183" customFormat="false" ht="14.25" hidden="false" customHeight="false" outlineLevel="0" collapsed="false">
      <c r="A183" s="0" t="str">
        <f aca="false">CONCATENATE(Tabela13[[#This Row],[cliente_id]],Tabela13[[#This Row],[mes_ano]])</f>
        <v>AE2024-12</v>
      </c>
      <c r="B183" s="1" t="s">
        <v>45</v>
      </c>
      <c r="C183" s="1" t="s">
        <v>10</v>
      </c>
      <c r="D183" s="9" t="n">
        <v>31309</v>
      </c>
      <c r="E183" s="9" t="n">
        <v>17589.26</v>
      </c>
    </row>
    <row r="184" customFormat="false" ht="14.25" hidden="false" customHeight="false" outlineLevel="0" collapsed="false">
      <c r="A184" s="0" t="str">
        <f aca="false">CONCATENATE(Tabela13[[#This Row],[cliente_id]],Tabela13[[#This Row],[mes_ano]])</f>
        <v>AE2025-01</v>
      </c>
      <c r="B184" s="1" t="s">
        <v>45</v>
      </c>
      <c r="C184" s="1" t="s">
        <v>11</v>
      </c>
      <c r="D184" s="9" t="n">
        <v>45790</v>
      </c>
      <c r="E184" s="9" t="n">
        <v>26250.04</v>
      </c>
    </row>
    <row r="185" customFormat="false" ht="14.25" hidden="false" customHeight="false" outlineLevel="0" collapsed="false">
      <c r="A185" s="0" t="str">
        <f aca="false">CONCATENATE(Tabela13[[#This Row],[cliente_id]],Tabela13[[#This Row],[mes_ano]])</f>
        <v>AE2025-02</v>
      </c>
      <c r="B185" s="1" t="s">
        <v>45</v>
      </c>
      <c r="C185" s="1" t="s">
        <v>12</v>
      </c>
      <c r="D185" s="9" t="n">
        <v>21228</v>
      </c>
      <c r="E185" s="9" t="n">
        <v>12613.07</v>
      </c>
    </row>
    <row r="186" customFormat="false" ht="14.25" hidden="false" customHeight="false" outlineLevel="0" collapsed="false">
      <c r="A186" s="0" t="str">
        <f aca="false">CONCATENATE(Tabela13[[#This Row],[cliente_id]],Tabela13[[#This Row],[mes_ano]])</f>
        <v>AE2025-03</v>
      </c>
      <c r="B186" s="1" t="s">
        <v>45</v>
      </c>
      <c r="C186" s="1" t="s">
        <v>13</v>
      </c>
      <c r="D186" s="9" t="n">
        <v>26281</v>
      </c>
      <c r="E186" s="9" t="n">
        <v>17326.93</v>
      </c>
    </row>
    <row r="187" customFormat="false" ht="14.25" hidden="false" customHeight="false" outlineLevel="0" collapsed="false">
      <c r="A187" s="0" t="str">
        <f aca="false">CONCATENATE(Tabela13[[#This Row],[cliente_id]],Tabela13[[#This Row],[mes_ano]])</f>
        <v>AE2025-04</v>
      </c>
      <c r="B187" s="1" t="s">
        <v>45</v>
      </c>
      <c r="C187" s="1" t="s">
        <v>14</v>
      </c>
      <c r="D187" s="9" t="n">
        <v>48670</v>
      </c>
      <c r="E187" s="9" t="n">
        <v>31177.5</v>
      </c>
    </row>
    <row r="188" customFormat="false" ht="14.25" hidden="false" customHeight="false" outlineLevel="0" collapsed="false">
      <c r="A188" s="0" t="str">
        <f aca="false">CONCATENATE(Tabela13[[#This Row],[cliente_id]],Tabela13[[#This Row],[mes_ano]])</f>
        <v>AE2025-05</v>
      </c>
      <c r="B188" s="1" t="s">
        <v>45</v>
      </c>
      <c r="C188" s="1" t="s">
        <v>15</v>
      </c>
      <c r="D188" s="9" t="n">
        <v>9641</v>
      </c>
      <c r="E188" s="9" t="n">
        <v>5233.71</v>
      </c>
    </row>
    <row r="189" customFormat="false" ht="14.25" hidden="false" customHeight="false" outlineLevel="0" collapsed="false">
      <c r="A189" s="0" t="str">
        <f aca="false">CONCATENATE(Tabela13[[#This Row],[cliente_id]],Tabela13[[#This Row],[mes_ano]])</f>
        <v>AF2024-12</v>
      </c>
      <c r="B189" s="1" t="s">
        <v>46</v>
      </c>
      <c r="C189" s="1" t="s">
        <v>10</v>
      </c>
      <c r="D189" s="9" t="n">
        <v>41093</v>
      </c>
      <c r="E189" s="9" t="n">
        <v>21922.26</v>
      </c>
    </row>
    <row r="190" customFormat="false" ht="14.25" hidden="false" customHeight="false" outlineLevel="0" collapsed="false">
      <c r="A190" s="0" t="str">
        <f aca="false">CONCATENATE(Tabela13[[#This Row],[cliente_id]],Tabela13[[#This Row],[mes_ano]])</f>
        <v>AF2025-01</v>
      </c>
      <c r="B190" s="1" t="s">
        <v>46</v>
      </c>
      <c r="C190" s="1" t="s">
        <v>11</v>
      </c>
      <c r="D190" s="9" t="n">
        <v>33173</v>
      </c>
      <c r="E190" s="9" t="n">
        <v>20052.14</v>
      </c>
    </row>
    <row r="191" customFormat="false" ht="14.25" hidden="false" customHeight="false" outlineLevel="0" collapsed="false">
      <c r="A191" s="0" t="str">
        <f aca="false">CONCATENATE(Tabela13[[#This Row],[cliente_id]],Tabela13[[#This Row],[mes_ano]])</f>
        <v>AF2025-02</v>
      </c>
      <c r="B191" s="1" t="s">
        <v>46</v>
      </c>
      <c r="C191" s="1" t="s">
        <v>12</v>
      </c>
      <c r="D191" s="9" t="n">
        <v>18640</v>
      </c>
      <c r="E191" s="9" t="n">
        <v>14768.53</v>
      </c>
    </row>
    <row r="192" customFormat="false" ht="14.25" hidden="false" customHeight="false" outlineLevel="0" collapsed="false">
      <c r="A192" s="0" t="str">
        <f aca="false">CONCATENATE(Tabela13[[#This Row],[cliente_id]],Tabela13[[#This Row],[mes_ano]])</f>
        <v>AF2025-03</v>
      </c>
      <c r="B192" s="1" t="s">
        <v>46</v>
      </c>
      <c r="C192" s="1" t="s">
        <v>13</v>
      </c>
      <c r="D192" s="9" t="n">
        <v>48010</v>
      </c>
      <c r="E192" s="9" t="n">
        <v>27199.53</v>
      </c>
    </row>
    <row r="193" customFormat="false" ht="14.25" hidden="false" customHeight="false" outlineLevel="0" collapsed="false">
      <c r="A193" s="0" t="str">
        <f aca="false">CONCATENATE(Tabela13[[#This Row],[cliente_id]],Tabela13[[#This Row],[mes_ano]])</f>
        <v>AF2025-04</v>
      </c>
      <c r="B193" s="1" t="s">
        <v>46</v>
      </c>
      <c r="C193" s="1" t="s">
        <v>14</v>
      </c>
      <c r="D193" s="9" t="n">
        <v>29485</v>
      </c>
      <c r="E193" s="9" t="n">
        <v>19892.98</v>
      </c>
    </row>
    <row r="194" customFormat="false" ht="14.25" hidden="false" customHeight="false" outlineLevel="0" collapsed="false">
      <c r="A194" s="0" t="str">
        <f aca="false">CONCATENATE(Tabela13[[#This Row],[cliente_id]],Tabela13[[#This Row],[mes_ano]])</f>
        <v>AF2025-05</v>
      </c>
      <c r="B194" s="1" t="s">
        <v>46</v>
      </c>
      <c r="C194" s="1" t="s">
        <v>15</v>
      </c>
      <c r="D194" s="9" t="n">
        <v>34752</v>
      </c>
      <c r="E194" s="9" t="n">
        <v>22927.79</v>
      </c>
    </row>
    <row r="195" customFormat="false" ht="14.25" hidden="false" customHeight="false" outlineLevel="0" collapsed="false">
      <c r="A195" s="0" t="str">
        <f aca="false">CONCATENATE(Tabela13[[#This Row],[cliente_id]],Tabela13[[#This Row],[mes_ano]])</f>
        <v>AG2024-12</v>
      </c>
      <c r="B195" s="1" t="s">
        <v>47</v>
      </c>
      <c r="C195" s="1" t="s">
        <v>10</v>
      </c>
      <c r="D195" s="9" t="n">
        <v>40656</v>
      </c>
      <c r="E195" s="9" t="n">
        <v>22704.4</v>
      </c>
    </row>
    <row r="196" customFormat="false" ht="14.25" hidden="false" customHeight="false" outlineLevel="0" collapsed="false">
      <c r="A196" s="0" t="str">
        <f aca="false">CONCATENATE(Tabela13[[#This Row],[cliente_id]],Tabela13[[#This Row],[mes_ano]])</f>
        <v>AG2025-01</v>
      </c>
      <c r="B196" s="1" t="s">
        <v>47</v>
      </c>
      <c r="C196" s="1" t="s">
        <v>11</v>
      </c>
      <c r="D196" s="9" t="n">
        <v>24304</v>
      </c>
      <c r="E196" s="9" t="n">
        <v>13621.69</v>
      </c>
    </row>
    <row r="197" customFormat="false" ht="14.25" hidden="false" customHeight="false" outlineLevel="0" collapsed="false">
      <c r="A197" s="0" t="str">
        <f aca="false">CONCATENATE(Tabela13[[#This Row],[cliente_id]],Tabela13[[#This Row],[mes_ano]])</f>
        <v>AG2025-02</v>
      </c>
      <c r="B197" s="1" t="s">
        <v>47</v>
      </c>
      <c r="C197" s="1" t="s">
        <v>12</v>
      </c>
      <c r="D197" s="9" t="n">
        <v>37193</v>
      </c>
      <c r="E197" s="9" t="n">
        <v>20562.38</v>
      </c>
    </row>
    <row r="198" customFormat="false" ht="14.25" hidden="false" customHeight="false" outlineLevel="0" collapsed="false">
      <c r="A198" s="0" t="str">
        <f aca="false">CONCATENATE(Tabela13[[#This Row],[cliente_id]],Tabela13[[#This Row],[mes_ano]])</f>
        <v>AG2025-03</v>
      </c>
      <c r="B198" s="1" t="s">
        <v>47</v>
      </c>
      <c r="C198" s="1" t="s">
        <v>13</v>
      </c>
      <c r="D198" s="9" t="n">
        <v>21609</v>
      </c>
      <c r="E198" s="9" t="n">
        <v>17177.59</v>
      </c>
    </row>
    <row r="199" customFormat="false" ht="14.25" hidden="false" customHeight="false" outlineLevel="0" collapsed="false">
      <c r="A199" s="0" t="str">
        <f aca="false">CONCATENATE(Tabela13[[#This Row],[cliente_id]],Tabela13[[#This Row],[mes_ano]])</f>
        <v>AG2025-04</v>
      </c>
      <c r="B199" s="1" t="s">
        <v>47</v>
      </c>
      <c r="C199" s="1" t="s">
        <v>14</v>
      </c>
      <c r="D199" s="9" t="n">
        <v>43085</v>
      </c>
      <c r="E199" s="9" t="n">
        <v>33285.85</v>
      </c>
    </row>
    <row r="200" customFormat="false" ht="14.25" hidden="false" customHeight="false" outlineLevel="0" collapsed="false">
      <c r="A200" s="0" t="str">
        <f aca="false">CONCATENATE(Tabela13[[#This Row],[cliente_id]],Tabela13[[#This Row],[mes_ano]])</f>
        <v>AG2025-05</v>
      </c>
      <c r="B200" s="1" t="s">
        <v>47</v>
      </c>
      <c r="C200" s="1" t="s">
        <v>15</v>
      </c>
      <c r="D200" s="9" t="n">
        <v>11558</v>
      </c>
      <c r="E200" s="9" t="n">
        <v>6060.8</v>
      </c>
    </row>
    <row r="201" customFormat="false" ht="14.25" hidden="false" customHeight="false" outlineLevel="0" collapsed="false">
      <c r="A201" s="0" t="str">
        <f aca="false">CONCATENATE(Tabela13[[#This Row],[cliente_id]],Tabela13[[#This Row],[mes_ano]])</f>
        <v>AH2024-12</v>
      </c>
      <c r="B201" s="1" t="s">
        <v>48</v>
      </c>
      <c r="C201" s="1" t="s">
        <v>10</v>
      </c>
      <c r="D201" s="9" t="n">
        <v>16766</v>
      </c>
      <c r="E201" s="9" t="n">
        <v>8582.17</v>
      </c>
    </row>
    <row r="202" customFormat="false" ht="14.25" hidden="false" customHeight="false" outlineLevel="0" collapsed="false">
      <c r="A202" s="0" t="str">
        <f aca="false">CONCATENATE(Tabela13[[#This Row],[cliente_id]],Tabela13[[#This Row],[mes_ano]])</f>
        <v>AH2025-01</v>
      </c>
      <c r="B202" s="1" t="s">
        <v>48</v>
      </c>
      <c r="C202" s="1" t="s">
        <v>11</v>
      </c>
      <c r="D202" s="9" t="n">
        <v>23489</v>
      </c>
      <c r="E202" s="9" t="n">
        <v>15820.6</v>
      </c>
    </row>
    <row r="203" customFormat="false" ht="14.25" hidden="false" customHeight="false" outlineLevel="0" collapsed="false">
      <c r="A203" s="0" t="str">
        <f aca="false">CONCATENATE(Tabela13[[#This Row],[cliente_id]],Tabela13[[#This Row],[mes_ano]])</f>
        <v>AH2025-02</v>
      </c>
      <c r="B203" s="1" t="s">
        <v>48</v>
      </c>
      <c r="C203" s="1" t="s">
        <v>12</v>
      </c>
      <c r="D203" s="9" t="n">
        <v>39691</v>
      </c>
      <c r="E203" s="9" t="n">
        <v>23553.52</v>
      </c>
    </row>
    <row r="204" customFormat="false" ht="14.25" hidden="false" customHeight="false" outlineLevel="0" collapsed="false">
      <c r="A204" s="0" t="str">
        <f aca="false">CONCATENATE(Tabela13[[#This Row],[cliente_id]],Tabela13[[#This Row],[mes_ano]])</f>
        <v>AH2025-03</v>
      </c>
      <c r="B204" s="1" t="s">
        <v>48</v>
      </c>
      <c r="C204" s="1" t="s">
        <v>13</v>
      </c>
      <c r="D204" s="9" t="n">
        <v>31187</v>
      </c>
      <c r="E204" s="9" t="n">
        <v>24444.18</v>
      </c>
    </row>
    <row r="205" customFormat="false" ht="14.25" hidden="false" customHeight="false" outlineLevel="0" collapsed="false">
      <c r="A205" s="0" t="str">
        <f aca="false">CONCATENATE(Tabela13[[#This Row],[cliente_id]],Tabela13[[#This Row],[mes_ano]])</f>
        <v>AH2025-04</v>
      </c>
      <c r="B205" s="1" t="s">
        <v>48</v>
      </c>
      <c r="C205" s="1" t="s">
        <v>14</v>
      </c>
      <c r="D205" s="9" t="n">
        <v>48779</v>
      </c>
      <c r="E205" s="9" t="n">
        <v>25101.9</v>
      </c>
    </row>
    <row r="206" customFormat="false" ht="14.25" hidden="false" customHeight="false" outlineLevel="0" collapsed="false">
      <c r="A206" s="0" t="str">
        <f aca="false">CONCATENATE(Tabela13[[#This Row],[cliente_id]],Tabela13[[#This Row],[mes_ano]])</f>
        <v>AH2025-05</v>
      </c>
      <c r="B206" s="1" t="s">
        <v>48</v>
      </c>
      <c r="C206" s="1" t="s">
        <v>15</v>
      </c>
      <c r="D206" s="9" t="n">
        <v>23356</v>
      </c>
      <c r="E206" s="9" t="n">
        <v>16493.52</v>
      </c>
    </row>
    <row r="207" customFormat="false" ht="14.25" hidden="false" customHeight="false" outlineLevel="0" collapsed="false">
      <c r="A207" s="0" t="str">
        <f aca="false">CONCATENATE(Tabela13[[#This Row],[cliente_id]],Tabela13[[#This Row],[mes_ano]])</f>
        <v>AI2024-12</v>
      </c>
      <c r="B207" s="1" t="s">
        <v>49</v>
      </c>
      <c r="C207" s="1" t="s">
        <v>10</v>
      </c>
      <c r="D207" s="9" t="n">
        <v>44167</v>
      </c>
      <c r="E207" s="9" t="n">
        <v>31937.48</v>
      </c>
    </row>
    <row r="208" customFormat="false" ht="14.25" hidden="false" customHeight="false" outlineLevel="0" collapsed="false">
      <c r="A208" s="0" t="str">
        <f aca="false">CONCATENATE(Tabela13[[#This Row],[cliente_id]],Tabela13[[#This Row],[mes_ano]])</f>
        <v>AI2025-01</v>
      </c>
      <c r="B208" s="1" t="s">
        <v>49</v>
      </c>
      <c r="C208" s="1" t="s">
        <v>11</v>
      </c>
      <c r="D208" s="9" t="n">
        <v>15485</v>
      </c>
      <c r="E208" s="9" t="n">
        <v>9387.87</v>
      </c>
    </row>
    <row r="209" customFormat="false" ht="14.25" hidden="false" customHeight="false" outlineLevel="0" collapsed="false">
      <c r="A209" s="0" t="str">
        <f aca="false">CONCATENATE(Tabela13[[#This Row],[cliente_id]],Tabela13[[#This Row],[mes_ano]])</f>
        <v>AI2025-02</v>
      </c>
      <c r="B209" s="1" t="s">
        <v>49</v>
      </c>
      <c r="C209" s="1" t="s">
        <v>12</v>
      </c>
      <c r="D209" s="9" t="n">
        <v>38762</v>
      </c>
      <c r="E209" s="9" t="n">
        <v>19724.79</v>
      </c>
    </row>
    <row r="210" customFormat="false" ht="14.25" hidden="false" customHeight="false" outlineLevel="0" collapsed="false">
      <c r="A210" s="0" t="str">
        <f aca="false">CONCATENATE(Tabela13[[#This Row],[cliente_id]],Tabela13[[#This Row],[mes_ano]])</f>
        <v>AI2025-03</v>
      </c>
      <c r="B210" s="1" t="s">
        <v>49</v>
      </c>
      <c r="C210" s="1" t="s">
        <v>13</v>
      </c>
      <c r="D210" s="9" t="n">
        <v>16173</v>
      </c>
      <c r="E210" s="9" t="n">
        <v>10475.1</v>
      </c>
    </row>
    <row r="211" customFormat="false" ht="14.25" hidden="false" customHeight="false" outlineLevel="0" collapsed="false">
      <c r="A211" s="0" t="str">
        <f aca="false">CONCATENATE(Tabela13[[#This Row],[cliente_id]],Tabela13[[#This Row],[mes_ano]])</f>
        <v>AI2025-04</v>
      </c>
      <c r="B211" s="1" t="s">
        <v>49</v>
      </c>
      <c r="C211" s="1" t="s">
        <v>14</v>
      </c>
      <c r="D211" s="9" t="n">
        <v>6759</v>
      </c>
      <c r="E211" s="9" t="n">
        <v>4409.12</v>
      </c>
    </row>
    <row r="212" customFormat="false" ht="14.25" hidden="false" customHeight="false" outlineLevel="0" collapsed="false">
      <c r="A212" s="0" t="str">
        <f aca="false">CONCATENATE(Tabela13[[#This Row],[cliente_id]],Tabela13[[#This Row],[mes_ano]])</f>
        <v>AI2025-05</v>
      </c>
      <c r="B212" s="1" t="s">
        <v>49</v>
      </c>
      <c r="C212" s="1" t="s">
        <v>15</v>
      </c>
      <c r="D212" s="9" t="n">
        <v>28458</v>
      </c>
      <c r="E212" s="9" t="n">
        <v>20445.29</v>
      </c>
    </row>
    <row r="213" customFormat="false" ht="14.25" hidden="false" customHeight="false" outlineLevel="0" collapsed="false">
      <c r="A213" s="0" t="str">
        <f aca="false">CONCATENATE(Tabela13[[#This Row],[cliente_id]],Tabela13[[#This Row],[mes_ano]])</f>
        <v>AJ2024-12</v>
      </c>
      <c r="B213" s="1" t="s">
        <v>50</v>
      </c>
      <c r="C213" s="1" t="s">
        <v>10</v>
      </c>
      <c r="D213" s="9" t="n">
        <v>12535</v>
      </c>
      <c r="E213" s="9" t="n">
        <v>7983.67</v>
      </c>
    </row>
    <row r="214" customFormat="false" ht="14.25" hidden="false" customHeight="false" outlineLevel="0" collapsed="false">
      <c r="A214" s="0" t="str">
        <f aca="false">CONCATENATE(Tabela13[[#This Row],[cliente_id]],Tabela13[[#This Row],[mes_ano]])</f>
        <v>AJ2025-01</v>
      </c>
      <c r="B214" s="1" t="s">
        <v>50</v>
      </c>
      <c r="C214" s="1" t="s">
        <v>11</v>
      </c>
      <c r="D214" s="9" t="n">
        <v>27318</v>
      </c>
      <c r="E214" s="9" t="n">
        <v>16716.76</v>
      </c>
    </row>
    <row r="215" customFormat="false" ht="14.25" hidden="false" customHeight="false" outlineLevel="0" collapsed="false">
      <c r="A215" s="0" t="str">
        <f aca="false">CONCATENATE(Tabela13[[#This Row],[cliente_id]],Tabela13[[#This Row],[mes_ano]])</f>
        <v>AJ2025-02</v>
      </c>
      <c r="B215" s="1" t="s">
        <v>50</v>
      </c>
      <c r="C215" s="1" t="s">
        <v>12</v>
      </c>
      <c r="D215" s="9" t="n">
        <v>40616</v>
      </c>
      <c r="E215" s="9" t="n">
        <v>31661.94</v>
      </c>
    </row>
    <row r="216" customFormat="false" ht="14.25" hidden="false" customHeight="false" outlineLevel="0" collapsed="false">
      <c r="A216" s="0" t="str">
        <f aca="false">CONCATENATE(Tabela13[[#This Row],[cliente_id]],Tabela13[[#This Row],[mes_ano]])</f>
        <v>AJ2025-03</v>
      </c>
      <c r="B216" s="1" t="s">
        <v>50</v>
      </c>
      <c r="C216" s="1" t="s">
        <v>13</v>
      </c>
      <c r="D216" s="9" t="n">
        <v>11782</v>
      </c>
      <c r="E216" s="9" t="n">
        <v>8272.63</v>
      </c>
    </row>
    <row r="217" customFormat="false" ht="14.25" hidden="false" customHeight="false" outlineLevel="0" collapsed="false">
      <c r="A217" s="0" t="str">
        <f aca="false">CONCATENATE(Tabela13[[#This Row],[cliente_id]],Tabela13[[#This Row],[mes_ano]])</f>
        <v>AJ2025-04</v>
      </c>
      <c r="B217" s="1" t="s">
        <v>50</v>
      </c>
      <c r="C217" s="1" t="s">
        <v>14</v>
      </c>
      <c r="D217" s="9" t="n">
        <v>15728</v>
      </c>
      <c r="E217" s="9" t="n">
        <v>9077.73</v>
      </c>
    </row>
    <row r="218" customFormat="false" ht="14.25" hidden="false" customHeight="false" outlineLevel="0" collapsed="false">
      <c r="A218" s="0" t="str">
        <f aca="false">CONCATENATE(Tabela13[[#This Row],[cliente_id]],Tabela13[[#This Row],[mes_ano]])</f>
        <v>AJ2025-05</v>
      </c>
      <c r="B218" s="1" t="s">
        <v>50</v>
      </c>
      <c r="C218" s="1" t="s">
        <v>15</v>
      </c>
      <c r="D218" s="9" t="n">
        <v>43830</v>
      </c>
      <c r="E218" s="9" t="n">
        <v>29407.77</v>
      </c>
    </row>
    <row r="219" customFormat="false" ht="14.25" hidden="false" customHeight="false" outlineLevel="0" collapsed="false">
      <c r="A219" s="0" t="str">
        <f aca="false">CONCATENATE(Tabela13[[#This Row],[cliente_id]],Tabela13[[#This Row],[mes_ano]])</f>
        <v>AK2024-12</v>
      </c>
      <c r="B219" s="1" t="s">
        <v>51</v>
      </c>
      <c r="C219" s="1" t="s">
        <v>10</v>
      </c>
      <c r="D219" s="9" t="n">
        <v>34278</v>
      </c>
      <c r="E219" s="9" t="n">
        <v>26604.97</v>
      </c>
    </row>
    <row r="220" customFormat="false" ht="14.25" hidden="false" customHeight="false" outlineLevel="0" collapsed="false">
      <c r="A220" s="0" t="str">
        <f aca="false">CONCATENATE(Tabela13[[#This Row],[cliente_id]],Tabela13[[#This Row],[mes_ano]])</f>
        <v>AK2025-01</v>
      </c>
      <c r="B220" s="1" t="s">
        <v>51</v>
      </c>
      <c r="C220" s="1" t="s">
        <v>11</v>
      </c>
      <c r="D220" s="9" t="n">
        <v>9274</v>
      </c>
      <c r="E220" s="9" t="n">
        <v>6476.54</v>
      </c>
    </row>
    <row r="221" customFormat="false" ht="14.25" hidden="false" customHeight="false" outlineLevel="0" collapsed="false">
      <c r="A221" s="0" t="str">
        <f aca="false">CONCATENATE(Tabela13[[#This Row],[cliente_id]],Tabela13[[#This Row],[mes_ano]])</f>
        <v>AK2025-02</v>
      </c>
      <c r="B221" s="1" t="s">
        <v>51</v>
      </c>
      <c r="C221" s="1" t="s">
        <v>12</v>
      </c>
      <c r="D221" s="9" t="n">
        <v>25990</v>
      </c>
      <c r="E221" s="9" t="n">
        <v>18117.98</v>
      </c>
    </row>
    <row r="222" customFormat="false" ht="14.25" hidden="false" customHeight="false" outlineLevel="0" collapsed="false">
      <c r="A222" s="0" t="str">
        <f aca="false">CONCATENATE(Tabela13[[#This Row],[cliente_id]],Tabela13[[#This Row],[mes_ano]])</f>
        <v>AK2025-03</v>
      </c>
      <c r="B222" s="1" t="s">
        <v>51</v>
      </c>
      <c r="C222" s="1" t="s">
        <v>13</v>
      </c>
      <c r="D222" s="9" t="n">
        <v>22422</v>
      </c>
      <c r="E222" s="9" t="n">
        <v>15188.46</v>
      </c>
    </row>
    <row r="223" customFormat="false" ht="14.25" hidden="false" customHeight="false" outlineLevel="0" collapsed="false">
      <c r="A223" s="0" t="str">
        <f aca="false">CONCATENATE(Tabela13[[#This Row],[cliente_id]],Tabela13[[#This Row],[mes_ano]])</f>
        <v>AK2025-04</v>
      </c>
      <c r="B223" s="1" t="s">
        <v>51</v>
      </c>
      <c r="C223" s="1" t="s">
        <v>14</v>
      </c>
      <c r="D223" s="9" t="n">
        <v>49124</v>
      </c>
      <c r="E223" s="9" t="n">
        <v>33639.35</v>
      </c>
    </row>
    <row r="224" customFormat="false" ht="14.25" hidden="false" customHeight="false" outlineLevel="0" collapsed="false">
      <c r="A224" s="0" t="str">
        <f aca="false">CONCATENATE(Tabela13[[#This Row],[cliente_id]],Tabela13[[#This Row],[mes_ano]])</f>
        <v>AK2025-05</v>
      </c>
      <c r="B224" s="1" t="s">
        <v>51</v>
      </c>
      <c r="C224" s="1" t="s">
        <v>15</v>
      </c>
      <c r="D224" s="9" t="n">
        <v>34747</v>
      </c>
      <c r="E224" s="9" t="n">
        <v>18622.79</v>
      </c>
    </row>
    <row r="225" customFormat="false" ht="14.25" hidden="false" customHeight="false" outlineLevel="0" collapsed="false">
      <c r="A225" s="0" t="str">
        <f aca="false">CONCATENATE(Tabela13[[#This Row],[cliente_id]],Tabela13[[#This Row],[mes_ano]])</f>
        <v>AL2024-12</v>
      </c>
      <c r="B225" s="1" t="s">
        <v>52</v>
      </c>
      <c r="C225" s="1" t="s">
        <v>10</v>
      </c>
      <c r="D225" s="9" t="n">
        <v>37824</v>
      </c>
      <c r="E225" s="9" t="n">
        <v>19545.88</v>
      </c>
    </row>
    <row r="226" customFormat="false" ht="14.25" hidden="false" customHeight="false" outlineLevel="0" collapsed="false">
      <c r="A226" s="0" t="str">
        <f aca="false">CONCATENATE(Tabela13[[#This Row],[cliente_id]],Tabela13[[#This Row],[mes_ano]])</f>
        <v>AL2025-01</v>
      </c>
      <c r="B226" s="1" t="s">
        <v>52</v>
      </c>
      <c r="C226" s="1" t="s">
        <v>11</v>
      </c>
      <c r="D226" s="9" t="n">
        <v>33725</v>
      </c>
      <c r="E226" s="9" t="n">
        <v>22500.58</v>
      </c>
    </row>
    <row r="227" customFormat="false" ht="14.25" hidden="false" customHeight="false" outlineLevel="0" collapsed="false">
      <c r="A227" s="0" t="str">
        <f aca="false">CONCATENATE(Tabela13[[#This Row],[cliente_id]],Tabela13[[#This Row],[mes_ano]])</f>
        <v>AL2025-02</v>
      </c>
      <c r="B227" s="1" t="s">
        <v>52</v>
      </c>
      <c r="C227" s="1" t="s">
        <v>12</v>
      </c>
      <c r="D227" s="9" t="n">
        <v>47708</v>
      </c>
      <c r="E227" s="9" t="n">
        <v>33859.77</v>
      </c>
    </row>
    <row r="228" customFormat="false" ht="14.25" hidden="false" customHeight="false" outlineLevel="0" collapsed="false">
      <c r="A228" s="0" t="str">
        <f aca="false">CONCATENATE(Tabela13[[#This Row],[cliente_id]],Tabela13[[#This Row],[mes_ano]])</f>
        <v>AL2025-03</v>
      </c>
      <c r="B228" s="1" t="s">
        <v>52</v>
      </c>
      <c r="C228" s="1" t="s">
        <v>13</v>
      </c>
      <c r="D228" s="9" t="n">
        <v>41937</v>
      </c>
      <c r="E228" s="9" t="n">
        <v>30594.46</v>
      </c>
    </row>
    <row r="229" customFormat="false" ht="14.25" hidden="false" customHeight="false" outlineLevel="0" collapsed="false">
      <c r="A229" s="0" t="str">
        <f aca="false">CONCATENATE(Tabela13[[#This Row],[cliente_id]],Tabela13[[#This Row],[mes_ano]])</f>
        <v>AL2025-04</v>
      </c>
      <c r="B229" s="1" t="s">
        <v>52</v>
      </c>
      <c r="C229" s="1" t="s">
        <v>14</v>
      </c>
      <c r="D229" s="9" t="n">
        <v>4864</v>
      </c>
      <c r="E229" s="9" t="n">
        <v>2457.63</v>
      </c>
    </row>
    <row r="230" customFormat="false" ht="14.25" hidden="false" customHeight="false" outlineLevel="0" collapsed="false">
      <c r="A230" s="0" t="str">
        <f aca="false">CONCATENATE(Tabela13[[#This Row],[cliente_id]],Tabela13[[#This Row],[mes_ano]])</f>
        <v>AL2025-05</v>
      </c>
      <c r="B230" s="1" t="s">
        <v>52</v>
      </c>
      <c r="C230" s="1" t="s">
        <v>15</v>
      </c>
      <c r="D230" s="9" t="n">
        <v>9238</v>
      </c>
      <c r="E230" s="9" t="n">
        <v>6623.4</v>
      </c>
    </row>
    <row r="231" customFormat="false" ht="14.25" hidden="false" customHeight="false" outlineLevel="0" collapsed="false">
      <c r="A231" s="0" t="str">
        <f aca="false">CONCATENATE(Tabela13[[#This Row],[cliente_id]],Tabela13[[#This Row],[mes_ano]])</f>
        <v>AM2024-12</v>
      </c>
      <c r="B231" s="1" t="s">
        <v>53</v>
      </c>
      <c r="C231" s="1" t="s">
        <v>10</v>
      </c>
      <c r="D231" s="9" t="n">
        <v>44774</v>
      </c>
      <c r="E231" s="9" t="n">
        <v>28511.23</v>
      </c>
    </row>
    <row r="232" customFormat="false" ht="14.25" hidden="false" customHeight="false" outlineLevel="0" collapsed="false">
      <c r="A232" s="0" t="str">
        <f aca="false">CONCATENATE(Tabela13[[#This Row],[cliente_id]],Tabela13[[#This Row],[mes_ano]])</f>
        <v>AM2025-01</v>
      </c>
      <c r="B232" s="1" t="s">
        <v>53</v>
      </c>
      <c r="C232" s="1" t="s">
        <v>11</v>
      </c>
      <c r="D232" s="9" t="n">
        <v>46815</v>
      </c>
      <c r="E232" s="9" t="n">
        <v>24877.21</v>
      </c>
    </row>
    <row r="233" customFormat="false" ht="14.25" hidden="false" customHeight="false" outlineLevel="0" collapsed="false">
      <c r="A233" s="0" t="str">
        <f aca="false">CONCATENATE(Tabela13[[#This Row],[cliente_id]],Tabela13[[#This Row],[mes_ano]])</f>
        <v>AM2025-02</v>
      </c>
      <c r="B233" s="1" t="s">
        <v>53</v>
      </c>
      <c r="C233" s="1" t="s">
        <v>12</v>
      </c>
      <c r="D233" s="9" t="n">
        <v>10474</v>
      </c>
      <c r="E233" s="9" t="n">
        <v>8095.69</v>
      </c>
    </row>
    <row r="234" customFormat="false" ht="14.25" hidden="false" customHeight="false" outlineLevel="0" collapsed="false">
      <c r="A234" s="0" t="str">
        <f aca="false">CONCATENATE(Tabela13[[#This Row],[cliente_id]],Tabela13[[#This Row],[mes_ano]])</f>
        <v>AM2025-03</v>
      </c>
      <c r="B234" s="1" t="s">
        <v>53</v>
      </c>
      <c r="C234" s="1" t="s">
        <v>13</v>
      </c>
      <c r="D234" s="9" t="n">
        <v>11251</v>
      </c>
      <c r="E234" s="9" t="n">
        <v>7980.88</v>
      </c>
    </row>
    <row r="235" customFormat="false" ht="14.25" hidden="false" customHeight="false" outlineLevel="0" collapsed="false">
      <c r="A235" s="0" t="str">
        <f aca="false">CONCATENATE(Tabela13[[#This Row],[cliente_id]],Tabela13[[#This Row],[mes_ano]])</f>
        <v>AM2025-04</v>
      </c>
      <c r="B235" s="1" t="s">
        <v>53</v>
      </c>
      <c r="C235" s="1" t="s">
        <v>14</v>
      </c>
      <c r="D235" s="9" t="n">
        <v>37443</v>
      </c>
      <c r="E235" s="9" t="n">
        <v>29053.23</v>
      </c>
    </row>
    <row r="236" customFormat="false" ht="14.25" hidden="false" customHeight="false" outlineLevel="0" collapsed="false">
      <c r="A236" s="0" t="str">
        <f aca="false">CONCATENATE(Tabela13[[#This Row],[cliente_id]],Tabela13[[#This Row],[mes_ano]])</f>
        <v>AM2025-05</v>
      </c>
      <c r="B236" s="1" t="s">
        <v>53</v>
      </c>
      <c r="C236" s="1" t="s">
        <v>15</v>
      </c>
      <c r="D236" s="9" t="n">
        <v>35749</v>
      </c>
      <c r="E236" s="9" t="n">
        <v>25853.93</v>
      </c>
    </row>
    <row r="237" customFormat="false" ht="14.25" hidden="false" customHeight="false" outlineLevel="0" collapsed="false">
      <c r="A237" s="0" t="str">
        <f aca="false">CONCATENATE(Tabela13[[#This Row],[cliente_id]],Tabela13[[#This Row],[mes_ano]])</f>
        <v>AN2024-12</v>
      </c>
      <c r="B237" s="1" t="s">
        <v>54</v>
      </c>
      <c r="C237" s="1" t="s">
        <v>10</v>
      </c>
      <c r="D237" s="9" t="n">
        <v>40023</v>
      </c>
      <c r="E237" s="9" t="n">
        <v>28343.45</v>
      </c>
    </row>
    <row r="238" customFormat="false" ht="14.25" hidden="false" customHeight="false" outlineLevel="0" collapsed="false">
      <c r="A238" s="0" t="str">
        <f aca="false">CONCATENATE(Tabela13[[#This Row],[cliente_id]],Tabela13[[#This Row],[mes_ano]])</f>
        <v>AN2025-01</v>
      </c>
      <c r="B238" s="1" t="s">
        <v>54</v>
      </c>
      <c r="C238" s="1" t="s">
        <v>11</v>
      </c>
      <c r="D238" s="9" t="n">
        <v>11144</v>
      </c>
      <c r="E238" s="9" t="n">
        <v>7722.01</v>
      </c>
    </row>
    <row r="239" customFormat="false" ht="14.25" hidden="false" customHeight="false" outlineLevel="0" collapsed="false">
      <c r="A239" s="0" t="str">
        <f aca="false">CONCATENATE(Tabela13[[#This Row],[cliente_id]],Tabela13[[#This Row],[mes_ano]])</f>
        <v>AN2025-02</v>
      </c>
      <c r="B239" s="1" t="s">
        <v>54</v>
      </c>
      <c r="C239" s="1" t="s">
        <v>12</v>
      </c>
      <c r="D239" s="9" t="n">
        <v>18478</v>
      </c>
      <c r="E239" s="9" t="n">
        <v>13776.58</v>
      </c>
    </row>
    <row r="240" customFormat="false" ht="14.25" hidden="false" customHeight="false" outlineLevel="0" collapsed="false">
      <c r="A240" s="0" t="str">
        <f aca="false">CONCATENATE(Tabela13[[#This Row],[cliente_id]],Tabela13[[#This Row],[mes_ano]])</f>
        <v>AN2025-03</v>
      </c>
      <c r="B240" s="1" t="s">
        <v>54</v>
      </c>
      <c r="C240" s="1" t="s">
        <v>13</v>
      </c>
      <c r="D240" s="9" t="n">
        <v>2095</v>
      </c>
      <c r="E240" s="9" t="n">
        <v>1658.89</v>
      </c>
    </row>
    <row r="241" customFormat="false" ht="14.25" hidden="false" customHeight="false" outlineLevel="0" collapsed="false">
      <c r="A241" s="0" t="str">
        <f aca="false">CONCATENATE(Tabela13[[#This Row],[cliente_id]],Tabela13[[#This Row],[mes_ano]])</f>
        <v>AN2025-04</v>
      </c>
      <c r="B241" s="1" t="s">
        <v>54</v>
      </c>
      <c r="C241" s="1" t="s">
        <v>14</v>
      </c>
      <c r="D241" s="9" t="n">
        <v>41794</v>
      </c>
      <c r="E241" s="9" t="n">
        <v>24439.65</v>
      </c>
    </row>
    <row r="242" customFormat="false" ht="14.25" hidden="false" customHeight="false" outlineLevel="0" collapsed="false">
      <c r="A242" s="0" t="str">
        <f aca="false">CONCATENATE(Tabela13[[#This Row],[cliente_id]],Tabela13[[#This Row],[mes_ano]])</f>
        <v>AN2025-05</v>
      </c>
      <c r="B242" s="1" t="s">
        <v>54</v>
      </c>
      <c r="C242" s="1" t="s">
        <v>15</v>
      </c>
      <c r="D242" s="9" t="n">
        <v>6042</v>
      </c>
      <c r="E242" s="9" t="n">
        <v>4401.71</v>
      </c>
    </row>
    <row r="243" customFormat="false" ht="14.25" hidden="false" customHeight="false" outlineLevel="0" collapsed="false">
      <c r="A243" s="0" t="str">
        <f aca="false">CONCATENATE(Tabela13[[#This Row],[cliente_id]],Tabela13[[#This Row],[mes_ano]])</f>
        <v>AO2024-12</v>
      </c>
      <c r="B243" s="1" t="s">
        <v>55</v>
      </c>
      <c r="C243" s="1" t="s">
        <v>10</v>
      </c>
      <c r="D243" s="9" t="n">
        <v>49189</v>
      </c>
      <c r="E243" s="9" t="n">
        <v>26285.75</v>
      </c>
    </row>
    <row r="244" customFormat="false" ht="14.25" hidden="false" customHeight="false" outlineLevel="0" collapsed="false">
      <c r="A244" s="0" t="str">
        <f aca="false">CONCATENATE(Tabela13[[#This Row],[cliente_id]],Tabela13[[#This Row],[mes_ano]])</f>
        <v>AO2025-01</v>
      </c>
      <c r="B244" s="1" t="s">
        <v>55</v>
      </c>
      <c r="C244" s="1" t="s">
        <v>11</v>
      </c>
      <c r="D244" s="9" t="n">
        <v>35723</v>
      </c>
      <c r="E244" s="9" t="n">
        <v>23567.49</v>
      </c>
    </row>
    <row r="245" customFormat="false" ht="14.25" hidden="false" customHeight="false" outlineLevel="0" collapsed="false">
      <c r="A245" s="0" t="str">
        <f aca="false">CONCATENATE(Tabela13[[#This Row],[cliente_id]],Tabela13[[#This Row],[mes_ano]])</f>
        <v>AO2025-02</v>
      </c>
      <c r="B245" s="1" t="s">
        <v>55</v>
      </c>
      <c r="C245" s="1" t="s">
        <v>12</v>
      </c>
      <c r="D245" s="9" t="n">
        <v>31884</v>
      </c>
      <c r="E245" s="9" t="n">
        <v>21240.77</v>
      </c>
    </row>
    <row r="246" customFormat="false" ht="14.25" hidden="false" customHeight="false" outlineLevel="0" collapsed="false">
      <c r="A246" s="0" t="str">
        <f aca="false">CONCATENATE(Tabela13[[#This Row],[cliente_id]],Tabela13[[#This Row],[mes_ano]])</f>
        <v>AO2025-03</v>
      </c>
      <c r="B246" s="1" t="s">
        <v>55</v>
      </c>
      <c r="C246" s="1" t="s">
        <v>13</v>
      </c>
      <c r="D246" s="9" t="n">
        <v>39221</v>
      </c>
      <c r="E246" s="9" t="n">
        <v>24824.12</v>
      </c>
    </row>
    <row r="247" customFormat="false" ht="14.25" hidden="false" customHeight="false" outlineLevel="0" collapsed="false">
      <c r="A247" s="0" t="str">
        <f aca="false">CONCATENATE(Tabela13[[#This Row],[cliente_id]],Tabela13[[#This Row],[mes_ano]])</f>
        <v>AO2025-04</v>
      </c>
      <c r="B247" s="1" t="s">
        <v>55</v>
      </c>
      <c r="C247" s="1" t="s">
        <v>14</v>
      </c>
      <c r="D247" s="9" t="n">
        <v>27176</v>
      </c>
      <c r="E247" s="9" t="n">
        <v>20582.74</v>
      </c>
    </row>
    <row r="248" customFormat="false" ht="14.25" hidden="false" customHeight="false" outlineLevel="0" collapsed="false">
      <c r="A248" s="0" t="str">
        <f aca="false">CONCATENATE(Tabela13[[#This Row],[cliente_id]],Tabela13[[#This Row],[mes_ano]])</f>
        <v>AO2025-05</v>
      </c>
      <c r="B248" s="1" t="s">
        <v>55</v>
      </c>
      <c r="C248" s="1" t="s">
        <v>15</v>
      </c>
      <c r="D248" s="9" t="n">
        <v>41925</v>
      </c>
      <c r="E248" s="9" t="n">
        <v>30881.23</v>
      </c>
    </row>
    <row r="249" customFormat="false" ht="14.25" hidden="false" customHeight="false" outlineLevel="0" collapsed="false">
      <c r="A249" s="0" t="str">
        <f aca="false">CONCATENATE(Tabela13[[#This Row],[cliente_id]],Tabela13[[#This Row],[mes_ano]])</f>
        <v>AP2024-12</v>
      </c>
      <c r="B249" s="1" t="s">
        <v>56</v>
      </c>
      <c r="C249" s="1" t="s">
        <v>10</v>
      </c>
      <c r="D249" s="9" t="n">
        <v>12359</v>
      </c>
      <c r="E249" s="9" t="n">
        <v>9527.25</v>
      </c>
    </row>
    <row r="250" customFormat="false" ht="14.25" hidden="false" customHeight="false" outlineLevel="0" collapsed="false">
      <c r="A250" s="0" t="str">
        <f aca="false">CONCATENATE(Tabela13[[#This Row],[cliente_id]],Tabela13[[#This Row],[mes_ano]])</f>
        <v>AP2025-01</v>
      </c>
      <c r="B250" s="1" t="s">
        <v>56</v>
      </c>
      <c r="C250" s="1" t="s">
        <v>11</v>
      </c>
      <c r="D250" s="9" t="n">
        <v>10846</v>
      </c>
      <c r="E250" s="9" t="n">
        <v>8446.72</v>
      </c>
    </row>
    <row r="251" customFormat="false" ht="14.25" hidden="false" customHeight="false" outlineLevel="0" collapsed="false">
      <c r="A251" s="0" t="str">
        <f aca="false">CONCATENATE(Tabela13[[#This Row],[cliente_id]],Tabela13[[#This Row],[mes_ano]])</f>
        <v>AP2025-02</v>
      </c>
      <c r="B251" s="1" t="s">
        <v>56</v>
      </c>
      <c r="C251" s="1" t="s">
        <v>12</v>
      </c>
      <c r="D251" s="9" t="n">
        <v>49109</v>
      </c>
      <c r="E251" s="9" t="n">
        <v>29662.54</v>
      </c>
    </row>
    <row r="252" customFormat="false" ht="14.25" hidden="false" customHeight="false" outlineLevel="0" collapsed="false">
      <c r="A252" s="0" t="str">
        <f aca="false">CONCATENATE(Tabela13[[#This Row],[cliente_id]],Tabela13[[#This Row],[mes_ano]])</f>
        <v>AP2025-03</v>
      </c>
      <c r="B252" s="1" t="s">
        <v>56</v>
      </c>
      <c r="C252" s="1" t="s">
        <v>13</v>
      </c>
      <c r="D252" s="9" t="n">
        <v>14581</v>
      </c>
      <c r="E252" s="9" t="n">
        <v>7722.65</v>
      </c>
    </row>
    <row r="253" customFormat="false" ht="14.25" hidden="false" customHeight="false" outlineLevel="0" collapsed="false">
      <c r="A253" s="0" t="str">
        <f aca="false">CONCATENATE(Tabela13[[#This Row],[cliente_id]],Tabela13[[#This Row],[mes_ano]])</f>
        <v>AP2025-04</v>
      </c>
      <c r="B253" s="1" t="s">
        <v>56</v>
      </c>
      <c r="C253" s="1" t="s">
        <v>14</v>
      </c>
      <c r="D253" s="9" t="n">
        <v>48615</v>
      </c>
      <c r="E253" s="9" t="n">
        <v>35548.63</v>
      </c>
    </row>
    <row r="254" customFormat="false" ht="14.25" hidden="false" customHeight="false" outlineLevel="0" collapsed="false">
      <c r="A254" s="0" t="str">
        <f aca="false">CONCATENATE(Tabela13[[#This Row],[cliente_id]],Tabela13[[#This Row],[mes_ano]])</f>
        <v>AP2025-05</v>
      </c>
      <c r="B254" s="1" t="s">
        <v>56</v>
      </c>
      <c r="C254" s="1" t="s">
        <v>15</v>
      </c>
      <c r="D254" s="9" t="n">
        <v>19053</v>
      </c>
      <c r="E254" s="9" t="n">
        <v>11561.88</v>
      </c>
    </row>
    <row r="255" customFormat="false" ht="14.25" hidden="false" customHeight="false" outlineLevel="0" collapsed="false">
      <c r="A255" s="0" t="str">
        <f aca="false">CONCATENATE(Tabela13[[#This Row],[cliente_id]],Tabela13[[#This Row],[mes_ano]])</f>
        <v>AQ2024-12</v>
      </c>
      <c r="B255" s="1" t="s">
        <v>57</v>
      </c>
      <c r="C255" s="1" t="s">
        <v>10</v>
      </c>
      <c r="D255" s="9" t="n">
        <v>3142</v>
      </c>
      <c r="E255" s="9" t="n">
        <v>2045.59</v>
      </c>
    </row>
    <row r="256" customFormat="false" ht="14.25" hidden="false" customHeight="false" outlineLevel="0" collapsed="false">
      <c r="A256" s="0" t="str">
        <f aca="false">CONCATENATE(Tabela13[[#This Row],[cliente_id]],Tabela13[[#This Row],[mes_ano]])</f>
        <v>AQ2025-01</v>
      </c>
      <c r="B256" s="1" t="s">
        <v>57</v>
      </c>
      <c r="C256" s="1" t="s">
        <v>11</v>
      </c>
      <c r="D256" s="9" t="n">
        <v>31278</v>
      </c>
      <c r="E256" s="9" t="n">
        <v>15750.59</v>
      </c>
    </row>
    <row r="257" customFormat="false" ht="14.25" hidden="false" customHeight="false" outlineLevel="0" collapsed="false">
      <c r="A257" s="0" t="str">
        <f aca="false">CONCATENATE(Tabela13[[#This Row],[cliente_id]],Tabela13[[#This Row],[mes_ano]])</f>
        <v>AQ2025-02</v>
      </c>
      <c r="B257" s="1" t="s">
        <v>57</v>
      </c>
      <c r="C257" s="1" t="s">
        <v>12</v>
      </c>
      <c r="D257" s="9" t="n">
        <v>29699</v>
      </c>
      <c r="E257" s="9" t="n">
        <v>22527.04</v>
      </c>
    </row>
    <row r="258" customFormat="false" ht="14.25" hidden="false" customHeight="false" outlineLevel="0" collapsed="false">
      <c r="A258" s="0" t="str">
        <f aca="false">CONCATENATE(Tabela13[[#This Row],[cliente_id]],Tabela13[[#This Row],[mes_ano]])</f>
        <v>AQ2025-03</v>
      </c>
      <c r="B258" s="1" t="s">
        <v>57</v>
      </c>
      <c r="C258" s="1" t="s">
        <v>13</v>
      </c>
      <c r="D258" s="9" t="n">
        <v>26942</v>
      </c>
      <c r="E258" s="9" t="n">
        <v>21009.39</v>
      </c>
    </row>
    <row r="259" customFormat="false" ht="14.25" hidden="false" customHeight="false" outlineLevel="0" collapsed="false">
      <c r="A259" s="0" t="str">
        <f aca="false">CONCATENATE(Tabela13[[#This Row],[cliente_id]],Tabela13[[#This Row],[mes_ano]])</f>
        <v>AQ2025-04</v>
      </c>
      <c r="B259" s="1" t="s">
        <v>57</v>
      </c>
      <c r="C259" s="1" t="s">
        <v>14</v>
      </c>
      <c r="D259" s="9" t="n">
        <v>23327</v>
      </c>
      <c r="E259" s="9" t="n">
        <v>14661.83</v>
      </c>
    </row>
    <row r="260" customFormat="false" ht="14.25" hidden="false" customHeight="false" outlineLevel="0" collapsed="false">
      <c r="A260" s="0" t="str">
        <f aca="false">CONCATENATE(Tabela13[[#This Row],[cliente_id]],Tabela13[[#This Row],[mes_ano]])</f>
        <v>AQ2025-05</v>
      </c>
      <c r="B260" s="1" t="s">
        <v>57</v>
      </c>
      <c r="C260" s="1" t="s">
        <v>15</v>
      </c>
      <c r="D260" s="9" t="n">
        <v>32952</v>
      </c>
      <c r="E260" s="9" t="n">
        <v>23166.99</v>
      </c>
    </row>
    <row r="261" customFormat="false" ht="14.25" hidden="false" customHeight="false" outlineLevel="0" collapsed="false">
      <c r="A261" s="0" t="str">
        <f aca="false">CONCATENATE(Tabela13[[#This Row],[cliente_id]],Tabela13[[#This Row],[mes_ano]])</f>
        <v>AR2024-12</v>
      </c>
      <c r="B261" s="1" t="s">
        <v>58</v>
      </c>
      <c r="C261" s="1" t="s">
        <v>10</v>
      </c>
      <c r="D261" s="9" t="n">
        <v>23453</v>
      </c>
      <c r="E261" s="9" t="n">
        <v>12067.83</v>
      </c>
    </row>
    <row r="262" customFormat="false" ht="14.25" hidden="false" customHeight="false" outlineLevel="0" collapsed="false">
      <c r="A262" s="0" t="str">
        <f aca="false">CONCATENATE(Tabela13[[#This Row],[cliente_id]],Tabela13[[#This Row],[mes_ano]])</f>
        <v>AR2025-01</v>
      </c>
      <c r="B262" s="1" t="s">
        <v>58</v>
      </c>
      <c r="C262" s="1" t="s">
        <v>11</v>
      </c>
      <c r="D262" s="9" t="n">
        <v>43994</v>
      </c>
      <c r="E262" s="9" t="n">
        <v>34446.7</v>
      </c>
    </row>
    <row r="263" customFormat="false" ht="14.25" hidden="false" customHeight="false" outlineLevel="0" collapsed="false">
      <c r="A263" s="0" t="str">
        <f aca="false">CONCATENATE(Tabela13[[#This Row],[cliente_id]],Tabela13[[#This Row],[mes_ano]])</f>
        <v>AR2025-02</v>
      </c>
      <c r="B263" s="1" t="s">
        <v>58</v>
      </c>
      <c r="C263" s="1" t="s">
        <v>12</v>
      </c>
      <c r="D263" s="9" t="n">
        <v>41766</v>
      </c>
      <c r="E263" s="9" t="n">
        <v>24973.86</v>
      </c>
    </row>
    <row r="264" customFormat="false" ht="14.25" hidden="false" customHeight="false" outlineLevel="0" collapsed="false">
      <c r="A264" s="0" t="str">
        <f aca="false">CONCATENATE(Tabela13[[#This Row],[cliente_id]],Tabela13[[#This Row],[mes_ano]])</f>
        <v>AR2025-03</v>
      </c>
      <c r="B264" s="1" t="s">
        <v>58</v>
      </c>
      <c r="C264" s="1" t="s">
        <v>13</v>
      </c>
      <c r="D264" s="9" t="n">
        <v>21105</v>
      </c>
      <c r="E264" s="9" t="n">
        <v>13020.6</v>
      </c>
    </row>
    <row r="265" customFormat="false" ht="14.25" hidden="false" customHeight="false" outlineLevel="0" collapsed="false">
      <c r="A265" s="0" t="str">
        <f aca="false">CONCATENATE(Tabela13[[#This Row],[cliente_id]],Tabela13[[#This Row],[mes_ano]])</f>
        <v>AR2025-04</v>
      </c>
      <c r="B265" s="1" t="s">
        <v>58</v>
      </c>
      <c r="C265" s="1" t="s">
        <v>14</v>
      </c>
      <c r="D265" s="9" t="n">
        <v>23131</v>
      </c>
      <c r="E265" s="9" t="n">
        <v>15599.38</v>
      </c>
    </row>
    <row r="266" customFormat="false" ht="14.25" hidden="false" customHeight="false" outlineLevel="0" collapsed="false">
      <c r="A266" s="0" t="str">
        <f aca="false">CONCATENATE(Tabela13[[#This Row],[cliente_id]],Tabela13[[#This Row],[mes_ano]])</f>
        <v>AR2025-05</v>
      </c>
      <c r="B266" s="1" t="s">
        <v>58</v>
      </c>
      <c r="C266" s="1" t="s">
        <v>15</v>
      </c>
      <c r="D266" s="9" t="n">
        <v>37588</v>
      </c>
      <c r="E266" s="9" t="n">
        <v>24740.71</v>
      </c>
    </row>
    <row r="267" customFormat="false" ht="14.25" hidden="false" customHeight="false" outlineLevel="0" collapsed="false">
      <c r="A267" s="0" t="str">
        <f aca="false">CONCATENATE(Tabela13[[#This Row],[cliente_id]],Tabela13[[#This Row],[mes_ano]])</f>
        <v>AS2024-12</v>
      </c>
      <c r="B267" s="1" t="s">
        <v>59</v>
      </c>
      <c r="C267" s="1" t="s">
        <v>10</v>
      </c>
      <c r="D267" s="9" t="n">
        <v>8913</v>
      </c>
      <c r="E267" s="9" t="n">
        <v>6560.5</v>
      </c>
    </row>
    <row r="268" customFormat="false" ht="14.25" hidden="false" customHeight="false" outlineLevel="0" collapsed="false">
      <c r="A268" s="0" t="str">
        <f aca="false">CONCATENATE(Tabela13[[#This Row],[cliente_id]],Tabela13[[#This Row],[mes_ano]])</f>
        <v>AS2025-01</v>
      </c>
      <c r="B268" s="1" t="s">
        <v>59</v>
      </c>
      <c r="C268" s="1" t="s">
        <v>11</v>
      </c>
      <c r="D268" s="9" t="n">
        <v>30440</v>
      </c>
      <c r="E268" s="9" t="n">
        <v>22439.75</v>
      </c>
    </row>
    <row r="269" customFormat="false" ht="14.25" hidden="false" customHeight="false" outlineLevel="0" collapsed="false">
      <c r="A269" s="0" t="str">
        <f aca="false">CONCATENATE(Tabela13[[#This Row],[cliente_id]],Tabela13[[#This Row],[mes_ano]])</f>
        <v>AS2025-02</v>
      </c>
      <c r="B269" s="1" t="s">
        <v>59</v>
      </c>
      <c r="C269" s="1" t="s">
        <v>12</v>
      </c>
      <c r="D269" s="9" t="n">
        <v>9926</v>
      </c>
      <c r="E269" s="9" t="n">
        <v>6261.24</v>
      </c>
    </row>
    <row r="270" customFormat="false" ht="14.25" hidden="false" customHeight="false" outlineLevel="0" collapsed="false">
      <c r="A270" s="0" t="str">
        <f aca="false">CONCATENATE(Tabela13[[#This Row],[cliente_id]],Tabela13[[#This Row],[mes_ano]])</f>
        <v>AS2025-03</v>
      </c>
      <c r="B270" s="1" t="s">
        <v>59</v>
      </c>
      <c r="C270" s="1" t="s">
        <v>13</v>
      </c>
      <c r="D270" s="9" t="n">
        <v>5240</v>
      </c>
      <c r="E270" s="9" t="n">
        <v>4101.44</v>
      </c>
    </row>
    <row r="271" customFormat="false" ht="14.25" hidden="false" customHeight="false" outlineLevel="0" collapsed="false">
      <c r="A271" s="0" t="str">
        <f aca="false">CONCATENATE(Tabela13[[#This Row],[cliente_id]],Tabela13[[#This Row],[mes_ano]])</f>
        <v>AS2025-04</v>
      </c>
      <c r="B271" s="1" t="s">
        <v>59</v>
      </c>
      <c r="C271" s="1" t="s">
        <v>14</v>
      </c>
      <c r="D271" s="9" t="n">
        <v>4200</v>
      </c>
      <c r="E271" s="9" t="n">
        <v>2197.66</v>
      </c>
    </row>
    <row r="272" customFormat="false" ht="14.25" hidden="false" customHeight="false" outlineLevel="0" collapsed="false">
      <c r="A272" s="0" t="str">
        <f aca="false">CONCATENATE(Tabela13[[#This Row],[cliente_id]],Tabela13[[#This Row],[mes_ano]])</f>
        <v>AS2025-05</v>
      </c>
      <c r="B272" s="1" t="s">
        <v>59</v>
      </c>
      <c r="C272" s="1" t="s">
        <v>15</v>
      </c>
      <c r="D272" s="9" t="n">
        <v>27942</v>
      </c>
      <c r="E272" s="9" t="n">
        <v>19425.04</v>
      </c>
    </row>
    <row r="273" customFormat="false" ht="14.25" hidden="false" customHeight="false" outlineLevel="0" collapsed="false">
      <c r="A273" s="0" t="str">
        <f aca="false">CONCATENATE(Tabela13[[#This Row],[cliente_id]],Tabela13[[#This Row],[mes_ano]])</f>
        <v>AT2024-12</v>
      </c>
      <c r="B273" s="1" t="s">
        <v>60</v>
      </c>
      <c r="C273" s="1" t="s">
        <v>10</v>
      </c>
      <c r="D273" s="9" t="n">
        <v>37061</v>
      </c>
      <c r="E273" s="9" t="n">
        <v>22688.76</v>
      </c>
    </row>
    <row r="274" customFormat="false" ht="14.25" hidden="false" customHeight="false" outlineLevel="0" collapsed="false">
      <c r="A274" s="0" t="str">
        <f aca="false">CONCATENATE(Tabela13[[#This Row],[cliente_id]],Tabela13[[#This Row],[mes_ano]])</f>
        <v>AT2025-01</v>
      </c>
      <c r="B274" s="1" t="s">
        <v>60</v>
      </c>
      <c r="C274" s="1" t="s">
        <v>11</v>
      </c>
      <c r="D274" s="9" t="n">
        <v>22830</v>
      </c>
      <c r="E274" s="9" t="n">
        <v>15899.88</v>
      </c>
    </row>
    <row r="275" customFormat="false" ht="14.25" hidden="false" customHeight="false" outlineLevel="0" collapsed="false">
      <c r="A275" s="0" t="str">
        <f aca="false">CONCATENATE(Tabela13[[#This Row],[cliente_id]],Tabela13[[#This Row],[mes_ano]])</f>
        <v>AT2025-02</v>
      </c>
      <c r="B275" s="1" t="s">
        <v>60</v>
      </c>
      <c r="C275" s="1" t="s">
        <v>12</v>
      </c>
      <c r="D275" s="9" t="n">
        <v>14502</v>
      </c>
      <c r="E275" s="9" t="n">
        <v>8504.81</v>
      </c>
    </row>
    <row r="276" customFormat="false" ht="14.25" hidden="false" customHeight="false" outlineLevel="0" collapsed="false">
      <c r="A276" s="0" t="str">
        <f aca="false">CONCATENATE(Tabela13[[#This Row],[cliente_id]],Tabela13[[#This Row],[mes_ano]])</f>
        <v>AT2025-03</v>
      </c>
      <c r="B276" s="1" t="s">
        <v>60</v>
      </c>
      <c r="C276" s="1" t="s">
        <v>13</v>
      </c>
      <c r="D276" s="9" t="n">
        <v>18401</v>
      </c>
      <c r="E276" s="9" t="n">
        <v>14365.3</v>
      </c>
    </row>
    <row r="277" customFormat="false" ht="14.25" hidden="false" customHeight="false" outlineLevel="0" collapsed="false">
      <c r="A277" s="0" t="str">
        <f aca="false">CONCATENATE(Tabela13[[#This Row],[cliente_id]],Tabela13[[#This Row],[mes_ano]])</f>
        <v>AT2025-04</v>
      </c>
      <c r="B277" s="1" t="s">
        <v>60</v>
      </c>
      <c r="C277" s="1" t="s">
        <v>14</v>
      </c>
      <c r="D277" s="9" t="n">
        <v>28430</v>
      </c>
      <c r="E277" s="9" t="n">
        <v>18025.03</v>
      </c>
    </row>
    <row r="278" customFormat="false" ht="14.25" hidden="false" customHeight="false" outlineLevel="0" collapsed="false">
      <c r="A278" s="0" t="str">
        <f aca="false">CONCATENATE(Tabela13[[#This Row],[cliente_id]],Tabela13[[#This Row],[mes_ano]])</f>
        <v>AT2025-05</v>
      </c>
      <c r="B278" s="1" t="s">
        <v>60</v>
      </c>
      <c r="C278" s="1" t="s">
        <v>15</v>
      </c>
      <c r="D278" s="9" t="n">
        <v>48041</v>
      </c>
      <c r="E278" s="9" t="n">
        <v>34255.05</v>
      </c>
    </row>
    <row r="279" customFormat="false" ht="14.25" hidden="false" customHeight="false" outlineLevel="0" collapsed="false">
      <c r="A279" s="0" t="str">
        <f aca="false">CONCATENATE(Tabela13[[#This Row],[cliente_id]],Tabela13[[#This Row],[mes_ano]])</f>
        <v>AU2024-12</v>
      </c>
      <c r="B279" s="1" t="s">
        <v>61</v>
      </c>
      <c r="C279" s="1" t="s">
        <v>10</v>
      </c>
      <c r="D279" s="9" t="n">
        <v>17706</v>
      </c>
      <c r="E279" s="9" t="n">
        <v>9334.02</v>
      </c>
    </row>
    <row r="280" customFormat="false" ht="14.25" hidden="false" customHeight="false" outlineLevel="0" collapsed="false">
      <c r="A280" s="0" t="str">
        <f aca="false">CONCATENATE(Tabela13[[#This Row],[cliente_id]],Tabela13[[#This Row],[mes_ano]])</f>
        <v>AU2025-01</v>
      </c>
      <c r="B280" s="1" t="s">
        <v>61</v>
      </c>
      <c r="C280" s="1" t="s">
        <v>11</v>
      </c>
      <c r="D280" s="9" t="n">
        <v>10860</v>
      </c>
      <c r="E280" s="9" t="n">
        <v>6655.81</v>
      </c>
    </row>
    <row r="281" customFormat="false" ht="14.25" hidden="false" customHeight="false" outlineLevel="0" collapsed="false">
      <c r="A281" s="0" t="str">
        <f aca="false">CONCATENATE(Tabela13[[#This Row],[cliente_id]],Tabela13[[#This Row],[mes_ano]])</f>
        <v>AU2025-02</v>
      </c>
      <c r="B281" s="1" t="s">
        <v>61</v>
      </c>
      <c r="C281" s="1" t="s">
        <v>12</v>
      </c>
      <c r="D281" s="9" t="n">
        <v>34348</v>
      </c>
      <c r="E281" s="9" t="n">
        <v>18815.19</v>
      </c>
    </row>
    <row r="282" customFormat="false" ht="14.25" hidden="false" customHeight="false" outlineLevel="0" collapsed="false">
      <c r="A282" s="0" t="str">
        <f aca="false">CONCATENATE(Tabela13[[#This Row],[cliente_id]],Tabela13[[#This Row],[mes_ano]])</f>
        <v>AU2025-03</v>
      </c>
      <c r="B282" s="1" t="s">
        <v>61</v>
      </c>
      <c r="C282" s="1" t="s">
        <v>13</v>
      </c>
      <c r="D282" s="9" t="n">
        <v>7197</v>
      </c>
      <c r="E282" s="9" t="n">
        <v>3800.67</v>
      </c>
    </row>
    <row r="283" customFormat="false" ht="14.25" hidden="false" customHeight="false" outlineLevel="0" collapsed="false">
      <c r="A283" s="0" t="str">
        <f aca="false">CONCATENATE(Tabela13[[#This Row],[cliente_id]],Tabela13[[#This Row],[mes_ano]])</f>
        <v>AU2025-04</v>
      </c>
      <c r="B283" s="1" t="s">
        <v>61</v>
      </c>
      <c r="C283" s="1" t="s">
        <v>14</v>
      </c>
      <c r="D283" s="9" t="n">
        <v>28447</v>
      </c>
      <c r="E283" s="9" t="n">
        <v>15127.73</v>
      </c>
    </row>
    <row r="284" customFormat="false" ht="14.25" hidden="false" customHeight="false" outlineLevel="0" collapsed="false">
      <c r="A284" s="0" t="str">
        <f aca="false">CONCATENATE(Tabela13[[#This Row],[cliente_id]],Tabela13[[#This Row],[mes_ano]])</f>
        <v>AU2025-05</v>
      </c>
      <c r="B284" s="1" t="s">
        <v>61</v>
      </c>
      <c r="C284" s="1" t="s">
        <v>15</v>
      </c>
      <c r="D284" s="9" t="n">
        <v>8571</v>
      </c>
      <c r="E284" s="9" t="n">
        <v>5522.46</v>
      </c>
    </row>
    <row r="285" customFormat="false" ht="14.25" hidden="false" customHeight="false" outlineLevel="0" collapsed="false">
      <c r="A285" s="0" t="str">
        <f aca="false">CONCATENATE(Tabela13[[#This Row],[cliente_id]],Tabela13[[#This Row],[mes_ano]])</f>
        <v>AV2024-12</v>
      </c>
      <c r="B285" s="1" t="s">
        <v>62</v>
      </c>
      <c r="C285" s="1" t="s">
        <v>10</v>
      </c>
      <c r="D285" s="9" t="n">
        <v>21985</v>
      </c>
      <c r="E285" s="9" t="n">
        <v>15873.3</v>
      </c>
    </row>
    <row r="286" customFormat="false" ht="14.25" hidden="false" customHeight="false" outlineLevel="0" collapsed="false">
      <c r="A286" s="0" t="str">
        <f aca="false">CONCATENATE(Tabela13[[#This Row],[cliente_id]],Tabela13[[#This Row],[mes_ano]])</f>
        <v>AV2025-01</v>
      </c>
      <c r="B286" s="1" t="s">
        <v>62</v>
      </c>
      <c r="C286" s="1" t="s">
        <v>11</v>
      </c>
      <c r="D286" s="9" t="n">
        <v>25487</v>
      </c>
      <c r="E286" s="9" t="n">
        <v>19713.95</v>
      </c>
    </row>
    <row r="287" customFormat="false" ht="14.25" hidden="false" customHeight="false" outlineLevel="0" collapsed="false">
      <c r="A287" s="0" t="str">
        <f aca="false">CONCATENATE(Tabela13[[#This Row],[cliente_id]],Tabela13[[#This Row],[mes_ano]])</f>
        <v>AV2025-02</v>
      </c>
      <c r="B287" s="1" t="s">
        <v>62</v>
      </c>
      <c r="C287" s="1" t="s">
        <v>12</v>
      </c>
      <c r="D287" s="9" t="n">
        <v>8131</v>
      </c>
      <c r="E287" s="9" t="n">
        <v>5653</v>
      </c>
    </row>
    <row r="288" customFormat="false" ht="14.25" hidden="false" customHeight="false" outlineLevel="0" collapsed="false">
      <c r="A288" s="0" t="str">
        <f aca="false">CONCATENATE(Tabela13[[#This Row],[cliente_id]],Tabela13[[#This Row],[mes_ano]])</f>
        <v>AV2025-03</v>
      </c>
      <c r="B288" s="1" t="s">
        <v>62</v>
      </c>
      <c r="C288" s="1" t="s">
        <v>13</v>
      </c>
      <c r="D288" s="9" t="n">
        <v>17900</v>
      </c>
      <c r="E288" s="9" t="n">
        <v>13087.75</v>
      </c>
    </row>
    <row r="289" customFormat="false" ht="14.25" hidden="false" customHeight="false" outlineLevel="0" collapsed="false">
      <c r="A289" s="0" t="str">
        <f aca="false">CONCATENATE(Tabela13[[#This Row],[cliente_id]],Tabela13[[#This Row],[mes_ano]])</f>
        <v>AV2025-04</v>
      </c>
      <c r="B289" s="1" t="s">
        <v>62</v>
      </c>
      <c r="C289" s="1" t="s">
        <v>14</v>
      </c>
      <c r="D289" s="9" t="n">
        <v>48114</v>
      </c>
      <c r="E289" s="9" t="n">
        <v>29107.4</v>
      </c>
    </row>
    <row r="290" customFormat="false" ht="14.25" hidden="false" customHeight="false" outlineLevel="0" collapsed="false">
      <c r="A290" s="0" t="str">
        <f aca="false">CONCATENATE(Tabela13[[#This Row],[cliente_id]],Tabela13[[#This Row],[mes_ano]])</f>
        <v>AV2025-05</v>
      </c>
      <c r="B290" s="1" t="s">
        <v>62</v>
      </c>
      <c r="C290" s="1" t="s">
        <v>15</v>
      </c>
      <c r="D290" s="9" t="n">
        <v>38836</v>
      </c>
      <c r="E290" s="9" t="n">
        <v>24110.84</v>
      </c>
    </row>
    <row r="291" customFormat="false" ht="14.25" hidden="false" customHeight="false" outlineLevel="0" collapsed="false">
      <c r="A291" s="0" t="str">
        <f aca="false">CONCATENATE(Tabela13[[#This Row],[cliente_id]],Tabela13[[#This Row],[mes_ano]])</f>
        <v>AX2024-12</v>
      </c>
      <c r="B291" s="1" t="s">
        <v>63</v>
      </c>
      <c r="C291" s="1" t="s">
        <v>10</v>
      </c>
      <c r="D291" s="9" t="n">
        <v>3968</v>
      </c>
      <c r="E291" s="9" t="n">
        <v>2463.09</v>
      </c>
    </row>
    <row r="292" customFormat="false" ht="14.25" hidden="false" customHeight="false" outlineLevel="0" collapsed="false">
      <c r="A292" s="0" t="str">
        <f aca="false">CONCATENATE(Tabela13[[#This Row],[cliente_id]],Tabela13[[#This Row],[mes_ano]])</f>
        <v>AX2025-01</v>
      </c>
      <c r="B292" s="1" t="s">
        <v>63</v>
      </c>
      <c r="C292" s="1" t="s">
        <v>11</v>
      </c>
      <c r="D292" s="9" t="n">
        <v>31885</v>
      </c>
      <c r="E292" s="9" t="n">
        <v>22202.95</v>
      </c>
    </row>
    <row r="293" customFormat="false" ht="14.25" hidden="false" customHeight="false" outlineLevel="0" collapsed="false">
      <c r="A293" s="0" t="str">
        <f aca="false">CONCATENATE(Tabela13[[#This Row],[cliente_id]],Tabela13[[#This Row],[mes_ano]])</f>
        <v>AX2025-02</v>
      </c>
      <c r="B293" s="1" t="s">
        <v>63</v>
      </c>
      <c r="C293" s="1" t="s">
        <v>12</v>
      </c>
      <c r="D293" s="9" t="n">
        <v>8973</v>
      </c>
      <c r="E293" s="9" t="n">
        <v>5141.21</v>
      </c>
    </row>
    <row r="294" customFormat="false" ht="14.25" hidden="false" customHeight="false" outlineLevel="0" collapsed="false">
      <c r="A294" s="0" t="str">
        <f aca="false">CONCATENATE(Tabela13[[#This Row],[cliente_id]],Tabela13[[#This Row],[mes_ano]])</f>
        <v>AX2025-03</v>
      </c>
      <c r="B294" s="1" t="s">
        <v>63</v>
      </c>
      <c r="C294" s="1" t="s">
        <v>13</v>
      </c>
      <c r="D294" s="9" t="n">
        <v>28907</v>
      </c>
      <c r="E294" s="9" t="n">
        <v>14488.75</v>
      </c>
    </row>
    <row r="295" customFormat="false" ht="14.25" hidden="false" customHeight="false" outlineLevel="0" collapsed="false">
      <c r="A295" s="0" t="str">
        <f aca="false">CONCATENATE(Tabela13[[#This Row],[cliente_id]],Tabela13[[#This Row],[mes_ano]])</f>
        <v>AX2025-04</v>
      </c>
      <c r="B295" s="1" t="s">
        <v>63</v>
      </c>
      <c r="C295" s="1" t="s">
        <v>14</v>
      </c>
      <c r="D295" s="9" t="n">
        <v>3946</v>
      </c>
      <c r="E295" s="9" t="n">
        <v>1985.3</v>
      </c>
    </row>
    <row r="296" customFormat="false" ht="14.25" hidden="false" customHeight="false" outlineLevel="0" collapsed="false">
      <c r="A296" s="0" t="str">
        <f aca="false">CONCATENATE(Tabela13[[#This Row],[cliente_id]],Tabela13[[#This Row],[mes_ano]])</f>
        <v>AX2025-05</v>
      </c>
      <c r="B296" s="1" t="s">
        <v>63</v>
      </c>
      <c r="C296" s="1" t="s">
        <v>15</v>
      </c>
      <c r="D296" s="9" t="n">
        <v>2507</v>
      </c>
      <c r="E296" s="9" t="n">
        <v>1838.73</v>
      </c>
    </row>
    <row r="297" customFormat="false" ht="14.25" hidden="false" customHeight="false" outlineLevel="0" collapsed="false">
      <c r="A297" s="0" t="str">
        <f aca="false">CONCATENATE(Tabela13[[#This Row],[cliente_id]],Tabela13[[#This Row],[mes_ano]])</f>
        <v>AW2024-12</v>
      </c>
      <c r="B297" s="1" t="s">
        <v>64</v>
      </c>
      <c r="C297" s="1" t="s">
        <v>10</v>
      </c>
      <c r="D297" s="9" t="n">
        <v>35366</v>
      </c>
      <c r="E297" s="9" t="n">
        <v>22076.74</v>
      </c>
    </row>
    <row r="298" customFormat="false" ht="14.25" hidden="false" customHeight="false" outlineLevel="0" collapsed="false">
      <c r="A298" s="0" t="str">
        <f aca="false">CONCATENATE(Tabela13[[#This Row],[cliente_id]],Tabela13[[#This Row],[mes_ano]])</f>
        <v>AW2025-01</v>
      </c>
      <c r="B298" s="1" t="s">
        <v>64</v>
      </c>
      <c r="C298" s="1" t="s">
        <v>11</v>
      </c>
      <c r="D298" s="9" t="n">
        <v>19951</v>
      </c>
      <c r="E298" s="9" t="n">
        <v>14062.76</v>
      </c>
    </row>
    <row r="299" customFormat="false" ht="14.25" hidden="false" customHeight="false" outlineLevel="0" collapsed="false">
      <c r="A299" s="0" t="str">
        <f aca="false">CONCATENATE(Tabela13[[#This Row],[cliente_id]],Tabela13[[#This Row],[mes_ano]])</f>
        <v>AW2025-02</v>
      </c>
      <c r="B299" s="1" t="s">
        <v>64</v>
      </c>
      <c r="C299" s="1" t="s">
        <v>12</v>
      </c>
      <c r="D299" s="9" t="n">
        <v>41093</v>
      </c>
      <c r="E299" s="9" t="n">
        <v>32604.77</v>
      </c>
    </row>
    <row r="300" customFormat="false" ht="14.25" hidden="false" customHeight="false" outlineLevel="0" collapsed="false">
      <c r="A300" s="0" t="str">
        <f aca="false">CONCATENATE(Tabela13[[#This Row],[cliente_id]],Tabela13[[#This Row],[mes_ano]])</f>
        <v>AW2025-03</v>
      </c>
      <c r="B300" s="1" t="s">
        <v>64</v>
      </c>
      <c r="C300" s="1" t="s">
        <v>13</v>
      </c>
      <c r="D300" s="9" t="n">
        <v>11732</v>
      </c>
      <c r="E300" s="9" t="n">
        <v>7162.43</v>
      </c>
    </row>
    <row r="301" customFormat="false" ht="14.25" hidden="false" customHeight="false" outlineLevel="0" collapsed="false">
      <c r="A301" s="0" t="str">
        <f aca="false">CONCATENATE(Tabela13[[#This Row],[cliente_id]],Tabela13[[#This Row],[mes_ano]])</f>
        <v>AW2025-04</v>
      </c>
      <c r="B301" s="1" t="s">
        <v>64</v>
      </c>
      <c r="C301" s="1" t="s">
        <v>14</v>
      </c>
      <c r="D301" s="9" t="n">
        <v>5887</v>
      </c>
      <c r="E301" s="9" t="n">
        <v>3610.04</v>
      </c>
    </row>
    <row r="302" customFormat="false" ht="14.25" hidden="false" customHeight="false" outlineLevel="0" collapsed="false">
      <c r="A302" s="0" t="str">
        <f aca="false">CONCATENATE(Tabela13[[#This Row],[cliente_id]],Tabela13[[#This Row],[mes_ano]])</f>
        <v>AW2025-05</v>
      </c>
      <c r="B302" s="1" t="s">
        <v>64</v>
      </c>
      <c r="C302" s="1" t="s">
        <v>15</v>
      </c>
      <c r="D302" s="9" t="n">
        <v>46600</v>
      </c>
      <c r="E302" s="9" t="n">
        <v>36548.82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&amp;L_x005F_x000D_&amp;1#&amp;7 ***Este documento está clasificado como USO INTERNO por TELEFÓNICA.
***This document is classified as INTERNAL USE by TELEFÓNICA.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3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0" width="10.45"/>
    <col collapsed="false" customWidth="true" hidden="false" outlineLevel="0" max="2" min="2" style="1" width="12.18"/>
    <col collapsed="false" customWidth="true" hidden="false" outlineLevel="0" max="3" min="3" style="1" width="13.82"/>
    <col collapsed="false" customWidth="true" hidden="false" outlineLevel="0" max="4" min="4" style="1" width="11.09"/>
    <col collapsed="false" customWidth="true" hidden="false" outlineLevel="0" max="5" min="5" style="1" width="11.73"/>
    <col collapsed="false" customWidth="true" hidden="false" outlineLevel="0" max="7" min="7" style="0" width="19.54"/>
    <col collapsed="false" customWidth="true" hidden="false" outlineLevel="0" max="8" min="8" style="0" width="11.54"/>
    <col collapsed="false" customWidth="true" hidden="false" outlineLevel="0" max="9" min="9" style="0" width="13.27"/>
  </cols>
  <sheetData>
    <row r="2" customFormat="false" ht="14.25" hidden="false" customHeight="false" outlineLevel="0" collapsed="false">
      <c r="A2" s="0" t="s">
        <v>79</v>
      </c>
      <c r="B2" s="13" t="s">
        <v>65</v>
      </c>
      <c r="C2" s="13" t="s">
        <v>82</v>
      </c>
      <c r="D2" s="13" t="s">
        <v>83</v>
      </c>
      <c r="E2" s="9" t="s">
        <v>84</v>
      </c>
    </row>
    <row r="3" customFormat="false" ht="14.25" hidden="false" customHeight="false" outlineLevel="0" collapsed="false">
      <c r="A3" s="0" t="str">
        <f aca="false">CONCATENATE(B3,C3)</f>
        <v>A2024-12</v>
      </c>
      <c r="B3" s="1" t="s">
        <v>9</v>
      </c>
      <c r="C3" s="1" t="s">
        <v>10</v>
      </c>
      <c r="D3" s="1" t="s">
        <v>85</v>
      </c>
      <c r="E3" s="9" t="n">
        <v>21231</v>
      </c>
    </row>
    <row r="4" customFormat="false" ht="14.25" hidden="false" customHeight="false" outlineLevel="0" collapsed="false">
      <c r="A4" s="0" t="str">
        <f aca="false">CONCATENATE(B4,C4)</f>
        <v>A2025-01</v>
      </c>
      <c r="B4" s="1" t="s">
        <v>9</v>
      </c>
      <c r="C4" s="1" t="s">
        <v>11</v>
      </c>
      <c r="D4" s="1" t="s">
        <v>86</v>
      </c>
      <c r="E4" s="9" t="n">
        <v>35273</v>
      </c>
    </row>
    <row r="5" customFormat="false" ht="14.25" hidden="false" customHeight="false" outlineLevel="0" collapsed="false">
      <c r="A5" s="0" t="str">
        <f aca="false">CONCATENATE(B5,C5)</f>
        <v>A2025-02</v>
      </c>
      <c r="B5" s="1" t="s">
        <v>9</v>
      </c>
      <c r="C5" s="1" t="s">
        <v>12</v>
      </c>
      <c r="D5" s="1" t="s">
        <v>86</v>
      </c>
      <c r="E5" s="9" t="n">
        <v>12897</v>
      </c>
    </row>
    <row r="6" customFormat="false" ht="14.25" hidden="false" customHeight="false" outlineLevel="0" collapsed="false">
      <c r="A6" s="0" t="str">
        <f aca="false">CONCATENATE(B6,C6)</f>
        <v>A2025-03</v>
      </c>
      <c r="B6" s="1" t="s">
        <v>9</v>
      </c>
      <c r="C6" s="1" t="s">
        <v>13</v>
      </c>
      <c r="D6" s="1" t="s">
        <v>86</v>
      </c>
      <c r="E6" s="9" t="n">
        <v>29303</v>
      </c>
      <c r="J6" s="14"/>
    </row>
    <row r="7" customFormat="false" ht="14.25" hidden="false" customHeight="false" outlineLevel="0" collapsed="false">
      <c r="A7" s="0" t="str">
        <f aca="false">CONCATENATE(B7,C7)</f>
        <v>A2025-04</v>
      </c>
      <c r="B7" s="1" t="s">
        <v>9</v>
      </c>
      <c r="C7" s="1" t="s">
        <v>14</v>
      </c>
      <c r="D7" s="1" t="s">
        <v>86</v>
      </c>
      <c r="E7" s="9" t="n">
        <v>42192</v>
      </c>
      <c r="J7" s="14"/>
    </row>
    <row r="8" customFormat="false" ht="14.25" hidden="false" customHeight="false" outlineLevel="0" collapsed="false">
      <c r="A8" s="0" t="str">
        <f aca="false">CONCATENATE(B8,C8)</f>
        <v>A2025-05</v>
      </c>
      <c r="B8" s="1" t="s">
        <v>9</v>
      </c>
      <c r="C8" s="1" t="s">
        <v>15</v>
      </c>
      <c r="D8" s="1" t="s">
        <v>86</v>
      </c>
      <c r="E8" s="9" t="n">
        <v>13155</v>
      </c>
      <c r="J8" s="14"/>
    </row>
    <row r="9" customFormat="false" ht="14.25" hidden="false" customHeight="false" outlineLevel="0" collapsed="false">
      <c r="A9" s="0" t="str">
        <f aca="false">CONCATENATE(B9,C9)</f>
        <v>B2024-12</v>
      </c>
      <c r="B9" s="1" t="s">
        <v>16</v>
      </c>
      <c r="C9" s="1" t="s">
        <v>10</v>
      </c>
      <c r="D9" s="1" t="s">
        <v>86</v>
      </c>
      <c r="E9" s="9" t="n">
        <v>39211</v>
      </c>
      <c r="J9" s="14"/>
    </row>
    <row r="10" customFormat="false" ht="14.25" hidden="false" customHeight="false" outlineLevel="0" collapsed="false">
      <c r="A10" s="0" t="str">
        <f aca="false">CONCATENATE(B10,C10)</f>
        <v>B2025-01</v>
      </c>
      <c r="B10" s="1" t="s">
        <v>16</v>
      </c>
      <c r="C10" s="1" t="s">
        <v>11</v>
      </c>
      <c r="D10" s="1" t="s">
        <v>86</v>
      </c>
      <c r="E10" s="9" t="n">
        <v>26027</v>
      </c>
      <c r="J10" s="14"/>
    </row>
    <row r="11" customFormat="false" ht="14.25" hidden="false" customHeight="false" outlineLevel="0" collapsed="false">
      <c r="A11" s="0" t="str">
        <f aca="false">CONCATENATE(B11,C11)</f>
        <v>B2025-02</v>
      </c>
      <c r="B11" s="1" t="s">
        <v>16</v>
      </c>
      <c r="C11" s="1" t="s">
        <v>12</v>
      </c>
      <c r="D11" s="1" t="s">
        <v>86</v>
      </c>
      <c r="E11" s="9" t="n">
        <v>35119</v>
      </c>
      <c r="J11" s="14"/>
    </row>
    <row r="12" customFormat="false" ht="14.25" hidden="false" customHeight="false" outlineLevel="0" collapsed="false">
      <c r="A12" s="0" t="str">
        <f aca="false">CONCATENATE(B12,C12)</f>
        <v>B2025-03</v>
      </c>
      <c r="B12" s="1" t="s">
        <v>16</v>
      </c>
      <c r="C12" s="1" t="s">
        <v>13</v>
      </c>
      <c r="D12" s="1" t="s">
        <v>86</v>
      </c>
      <c r="E12" s="9" t="n">
        <v>21363</v>
      </c>
      <c r="J12" s="14"/>
    </row>
    <row r="13" customFormat="false" ht="14.25" hidden="false" customHeight="false" outlineLevel="0" collapsed="false">
      <c r="A13" s="0" t="str">
        <f aca="false">CONCATENATE(B13,C13)</f>
        <v>B2025-04</v>
      </c>
      <c r="B13" s="1" t="s">
        <v>16</v>
      </c>
      <c r="C13" s="1" t="s">
        <v>14</v>
      </c>
      <c r="D13" s="1" t="s">
        <v>85</v>
      </c>
      <c r="E13" s="9" t="n">
        <v>7179</v>
      </c>
    </row>
    <row r="14" customFormat="false" ht="14.25" hidden="false" customHeight="false" outlineLevel="0" collapsed="false">
      <c r="A14" s="0" t="str">
        <f aca="false">CONCATENATE(B14,C14)</f>
        <v>B2025-05</v>
      </c>
      <c r="B14" s="1" t="s">
        <v>16</v>
      </c>
      <c r="C14" s="1" t="s">
        <v>15</v>
      </c>
      <c r="D14" s="1" t="s">
        <v>86</v>
      </c>
      <c r="E14" s="9" t="n">
        <v>26815</v>
      </c>
    </row>
    <row r="15" customFormat="false" ht="14.25" hidden="false" customHeight="false" outlineLevel="0" collapsed="false">
      <c r="A15" s="0" t="str">
        <f aca="false">CONCATENATE(B15,C15)</f>
        <v>C2024-12</v>
      </c>
      <c r="B15" s="1" t="s">
        <v>17</v>
      </c>
      <c r="C15" s="1" t="s">
        <v>10</v>
      </c>
      <c r="D15" s="1" t="s">
        <v>86</v>
      </c>
      <c r="E15" s="9" t="n">
        <v>15923</v>
      </c>
    </row>
    <row r="16" customFormat="false" ht="14.25" hidden="false" customHeight="false" outlineLevel="0" collapsed="false">
      <c r="A16" s="0" t="str">
        <f aca="false">CONCATENATE(B16,C16)</f>
        <v>C2025-01</v>
      </c>
      <c r="B16" s="1" t="s">
        <v>17</v>
      </c>
      <c r="C16" s="1" t="s">
        <v>11</v>
      </c>
      <c r="D16" s="1" t="s">
        <v>86</v>
      </c>
      <c r="E16" s="9" t="n">
        <v>4922</v>
      </c>
    </row>
    <row r="17" customFormat="false" ht="14.25" hidden="false" customHeight="false" outlineLevel="0" collapsed="false">
      <c r="A17" s="0" t="str">
        <f aca="false">CONCATENATE(B17,C17)</f>
        <v>C2025-02</v>
      </c>
      <c r="B17" s="1" t="s">
        <v>17</v>
      </c>
      <c r="C17" s="1" t="s">
        <v>12</v>
      </c>
      <c r="D17" s="1" t="s">
        <v>86</v>
      </c>
      <c r="E17" s="9" t="n">
        <v>46087</v>
      </c>
    </row>
    <row r="18" customFormat="false" ht="14.25" hidden="false" customHeight="false" outlineLevel="0" collapsed="false">
      <c r="A18" s="0" t="str">
        <f aca="false">CONCATENATE(B18,C18)</f>
        <v>C2025-03</v>
      </c>
      <c r="B18" s="1" t="s">
        <v>17</v>
      </c>
      <c r="C18" s="1" t="s">
        <v>13</v>
      </c>
      <c r="D18" s="1" t="s">
        <v>86</v>
      </c>
      <c r="E18" s="9" t="n">
        <v>24934</v>
      </c>
    </row>
    <row r="19" customFormat="false" ht="14.25" hidden="false" customHeight="false" outlineLevel="0" collapsed="false">
      <c r="A19" s="0" t="str">
        <f aca="false">CONCATENATE(B19,C19)</f>
        <v>C2025-04</v>
      </c>
      <c r="B19" s="1" t="s">
        <v>17</v>
      </c>
      <c r="C19" s="1" t="s">
        <v>14</v>
      </c>
      <c r="D19" s="1" t="s">
        <v>86</v>
      </c>
      <c r="E19" s="9" t="n">
        <v>10325</v>
      </c>
    </row>
    <row r="20" customFormat="false" ht="14.25" hidden="false" customHeight="false" outlineLevel="0" collapsed="false">
      <c r="A20" s="0" t="str">
        <f aca="false">CONCATENATE(B20,C20)</f>
        <v>C2025-05</v>
      </c>
      <c r="B20" s="1" t="s">
        <v>17</v>
      </c>
      <c r="C20" s="1" t="s">
        <v>15</v>
      </c>
      <c r="D20" s="1" t="s">
        <v>86</v>
      </c>
      <c r="E20" s="9" t="n">
        <v>15620</v>
      </c>
    </row>
    <row r="21" customFormat="false" ht="14.25" hidden="false" customHeight="false" outlineLevel="0" collapsed="false">
      <c r="A21" s="0" t="str">
        <f aca="false">CONCATENATE(B21,C21)</f>
        <v>D2024-12</v>
      </c>
      <c r="B21" s="1" t="s">
        <v>18</v>
      </c>
      <c r="C21" s="1" t="s">
        <v>10</v>
      </c>
      <c r="D21" s="1" t="s">
        <v>86</v>
      </c>
      <c r="E21" s="9" t="n">
        <v>14806</v>
      </c>
    </row>
    <row r="22" customFormat="false" ht="14.25" hidden="false" customHeight="false" outlineLevel="0" collapsed="false">
      <c r="A22" s="0" t="str">
        <f aca="false">CONCATENATE(B22,C22)</f>
        <v>D2025-01</v>
      </c>
      <c r="B22" s="1" t="s">
        <v>18</v>
      </c>
      <c r="C22" s="1" t="s">
        <v>11</v>
      </c>
      <c r="D22" s="1" t="s">
        <v>85</v>
      </c>
      <c r="E22" s="9" t="n">
        <v>38204</v>
      </c>
    </row>
    <row r="23" customFormat="false" ht="14.25" hidden="false" customHeight="false" outlineLevel="0" collapsed="false">
      <c r="A23" s="0" t="str">
        <f aca="false">CONCATENATE(B23,C23)</f>
        <v>D2025-02</v>
      </c>
      <c r="B23" s="1" t="s">
        <v>18</v>
      </c>
      <c r="C23" s="1" t="s">
        <v>12</v>
      </c>
      <c r="D23" s="1" t="s">
        <v>86</v>
      </c>
      <c r="E23" s="9" t="n">
        <v>45343</v>
      </c>
    </row>
    <row r="24" customFormat="false" ht="14.25" hidden="false" customHeight="false" outlineLevel="0" collapsed="false">
      <c r="A24" s="0" t="str">
        <f aca="false">CONCATENATE(B24,C24)</f>
        <v>D2025-03</v>
      </c>
      <c r="B24" s="1" t="s">
        <v>18</v>
      </c>
      <c r="C24" s="1" t="s">
        <v>13</v>
      </c>
      <c r="D24" s="1" t="s">
        <v>86</v>
      </c>
      <c r="E24" s="9" t="n">
        <v>4530</v>
      </c>
    </row>
    <row r="25" customFormat="false" ht="14.25" hidden="false" customHeight="false" outlineLevel="0" collapsed="false">
      <c r="A25" s="0" t="str">
        <f aca="false">CONCATENATE(B25,C25)</f>
        <v>D2025-04</v>
      </c>
      <c r="B25" s="1" t="s">
        <v>18</v>
      </c>
      <c r="C25" s="1" t="s">
        <v>14</v>
      </c>
      <c r="D25" s="1" t="s">
        <v>86</v>
      </c>
      <c r="E25" s="9" t="n">
        <v>37571</v>
      </c>
    </row>
    <row r="26" customFormat="false" ht="14.25" hidden="false" customHeight="false" outlineLevel="0" collapsed="false">
      <c r="A26" s="0" t="str">
        <f aca="false">CONCATENATE(B26,C26)</f>
        <v>D2025-05</v>
      </c>
      <c r="B26" s="1" t="s">
        <v>18</v>
      </c>
      <c r="C26" s="1" t="s">
        <v>15</v>
      </c>
      <c r="D26" s="1" t="s">
        <v>85</v>
      </c>
      <c r="E26" s="9" t="n">
        <v>4056</v>
      </c>
    </row>
    <row r="27" customFormat="false" ht="14.25" hidden="false" customHeight="false" outlineLevel="0" collapsed="false">
      <c r="A27" s="0" t="str">
        <f aca="false">CONCATENATE(B27,C27)</f>
        <v>E2024-12</v>
      </c>
      <c r="B27" s="1" t="s">
        <v>19</v>
      </c>
      <c r="C27" s="1" t="s">
        <v>10</v>
      </c>
      <c r="D27" s="1" t="s">
        <v>86</v>
      </c>
      <c r="E27" s="9" t="n">
        <v>2657</v>
      </c>
    </row>
    <row r="28" customFormat="false" ht="14.25" hidden="false" customHeight="false" outlineLevel="0" collapsed="false">
      <c r="A28" s="0" t="str">
        <f aca="false">CONCATENATE(B28,C28)</f>
        <v>E2025-01</v>
      </c>
      <c r="B28" s="1" t="s">
        <v>19</v>
      </c>
      <c r="C28" s="1" t="s">
        <v>11</v>
      </c>
      <c r="D28" s="1" t="s">
        <v>86</v>
      </c>
      <c r="E28" s="9" t="n">
        <v>11565</v>
      </c>
    </row>
    <row r="29" customFormat="false" ht="14.25" hidden="false" customHeight="false" outlineLevel="0" collapsed="false">
      <c r="A29" s="0" t="str">
        <f aca="false">CONCATENATE(B29,C29)</f>
        <v>E2025-02</v>
      </c>
      <c r="B29" s="1" t="s">
        <v>19</v>
      </c>
      <c r="C29" s="1" t="s">
        <v>12</v>
      </c>
      <c r="D29" s="1" t="s">
        <v>85</v>
      </c>
      <c r="E29" s="9" t="n">
        <v>36553</v>
      </c>
    </row>
    <row r="30" customFormat="false" ht="14.25" hidden="false" customHeight="false" outlineLevel="0" collapsed="false">
      <c r="A30" s="0" t="str">
        <f aca="false">CONCATENATE(B30,C30)</f>
        <v>E2025-03</v>
      </c>
      <c r="B30" s="1" t="s">
        <v>19</v>
      </c>
      <c r="C30" s="1" t="s">
        <v>13</v>
      </c>
      <c r="D30" s="1" t="s">
        <v>86</v>
      </c>
      <c r="E30" s="9" t="n">
        <v>28310</v>
      </c>
    </row>
    <row r="31" customFormat="false" ht="14.25" hidden="false" customHeight="false" outlineLevel="0" collapsed="false">
      <c r="A31" s="0" t="str">
        <f aca="false">CONCATENATE(B31,C31)</f>
        <v>E2025-04</v>
      </c>
      <c r="B31" s="1" t="s">
        <v>19</v>
      </c>
      <c r="C31" s="1" t="s">
        <v>14</v>
      </c>
      <c r="D31" s="1" t="s">
        <v>86</v>
      </c>
      <c r="E31" s="9" t="n">
        <v>46096</v>
      </c>
    </row>
    <row r="32" customFormat="false" ht="14.25" hidden="false" customHeight="false" outlineLevel="0" collapsed="false">
      <c r="A32" s="0" t="str">
        <f aca="false">CONCATENATE(B32,C32)</f>
        <v>E2025-05</v>
      </c>
      <c r="B32" s="1" t="s">
        <v>19</v>
      </c>
      <c r="C32" s="1" t="s">
        <v>15</v>
      </c>
      <c r="D32" s="1" t="s">
        <v>86</v>
      </c>
      <c r="E32" s="9" t="n">
        <v>43742</v>
      </c>
    </row>
    <row r="33" customFormat="false" ht="14.25" hidden="false" customHeight="false" outlineLevel="0" collapsed="false">
      <c r="A33" s="0" t="str">
        <f aca="false">CONCATENATE(B33,C33)</f>
        <v>F2024-12</v>
      </c>
      <c r="B33" s="1" t="s">
        <v>20</v>
      </c>
      <c r="C33" s="1" t="s">
        <v>10</v>
      </c>
      <c r="D33" s="1" t="s">
        <v>86</v>
      </c>
      <c r="E33" s="9" t="n">
        <v>30245</v>
      </c>
    </row>
    <row r="34" customFormat="false" ht="14.25" hidden="false" customHeight="false" outlineLevel="0" collapsed="false">
      <c r="A34" s="0" t="str">
        <f aca="false">CONCATENATE(B34,C34)</f>
        <v>F2025-01</v>
      </c>
      <c r="B34" s="1" t="s">
        <v>20</v>
      </c>
      <c r="C34" s="1" t="s">
        <v>11</v>
      </c>
      <c r="D34" s="1" t="s">
        <v>86</v>
      </c>
      <c r="E34" s="9" t="n">
        <v>19225</v>
      </c>
    </row>
    <row r="35" customFormat="false" ht="14.25" hidden="false" customHeight="false" outlineLevel="0" collapsed="false">
      <c r="A35" s="0" t="str">
        <f aca="false">CONCATENATE(B35,C35)</f>
        <v>F2025-02</v>
      </c>
      <c r="B35" s="1" t="s">
        <v>20</v>
      </c>
      <c r="C35" s="1" t="s">
        <v>12</v>
      </c>
      <c r="D35" s="1" t="s">
        <v>86</v>
      </c>
      <c r="E35" s="9" t="n">
        <v>14920</v>
      </c>
    </row>
    <row r="36" customFormat="false" ht="14.25" hidden="false" customHeight="false" outlineLevel="0" collapsed="false">
      <c r="A36" s="0" t="str">
        <f aca="false">CONCATENATE(B36,C36)</f>
        <v>F2025-03</v>
      </c>
      <c r="B36" s="1" t="s">
        <v>20</v>
      </c>
      <c r="C36" s="1" t="s">
        <v>13</v>
      </c>
      <c r="D36" s="1" t="s">
        <v>86</v>
      </c>
      <c r="E36" s="9" t="n">
        <v>2898</v>
      </c>
    </row>
    <row r="37" customFormat="false" ht="14.25" hidden="false" customHeight="false" outlineLevel="0" collapsed="false">
      <c r="A37" s="0" t="str">
        <f aca="false">CONCATENATE(B37,C37)</f>
        <v>F2025-04</v>
      </c>
      <c r="B37" s="1" t="s">
        <v>20</v>
      </c>
      <c r="C37" s="1" t="s">
        <v>14</v>
      </c>
      <c r="D37" s="1" t="s">
        <v>85</v>
      </c>
      <c r="E37" s="9" t="n">
        <v>4717</v>
      </c>
    </row>
    <row r="38" customFormat="false" ht="14.25" hidden="false" customHeight="false" outlineLevel="0" collapsed="false">
      <c r="A38" s="0" t="str">
        <f aca="false">CONCATENATE(B38,C38)</f>
        <v>F2025-05</v>
      </c>
      <c r="B38" s="1" t="s">
        <v>20</v>
      </c>
      <c r="C38" s="1" t="s">
        <v>15</v>
      </c>
      <c r="D38" s="1" t="s">
        <v>86</v>
      </c>
      <c r="E38" s="9" t="n">
        <v>43205</v>
      </c>
    </row>
    <row r="39" customFormat="false" ht="14.25" hidden="false" customHeight="false" outlineLevel="0" collapsed="false">
      <c r="A39" s="0" t="str">
        <f aca="false">CONCATENATE(B39,C39)</f>
        <v>G2024-12</v>
      </c>
      <c r="B39" s="1" t="s">
        <v>21</v>
      </c>
      <c r="C39" s="1" t="s">
        <v>10</v>
      </c>
      <c r="D39" s="1" t="s">
        <v>85</v>
      </c>
      <c r="E39" s="9" t="n">
        <v>45635</v>
      </c>
    </row>
    <row r="40" customFormat="false" ht="14.25" hidden="false" customHeight="false" outlineLevel="0" collapsed="false">
      <c r="A40" s="0" t="str">
        <f aca="false">CONCATENATE(B40,C40)</f>
        <v>G2025-01</v>
      </c>
      <c r="B40" s="1" t="s">
        <v>21</v>
      </c>
      <c r="C40" s="1" t="s">
        <v>11</v>
      </c>
      <c r="D40" s="1" t="s">
        <v>86</v>
      </c>
      <c r="E40" s="9" t="n">
        <v>34170</v>
      </c>
    </row>
    <row r="41" customFormat="false" ht="14.25" hidden="false" customHeight="false" outlineLevel="0" collapsed="false">
      <c r="A41" s="0" t="str">
        <f aca="false">CONCATENATE(B41,C41)</f>
        <v>G2025-02</v>
      </c>
      <c r="B41" s="1" t="s">
        <v>21</v>
      </c>
      <c r="C41" s="1" t="s">
        <v>12</v>
      </c>
      <c r="D41" s="1" t="s">
        <v>86</v>
      </c>
      <c r="E41" s="9" t="n">
        <v>17007</v>
      </c>
    </row>
    <row r="42" customFormat="false" ht="14.25" hidden="false" customHeight="false" outlineLevel="0" collapsed="false">
      <c r="A42" s="0" t="str">
        <f aca="false">CONCATENATE(B42,C42)</f>
        <v>G2025-03</v>
      </c>
      <c r="B42" s="1" t="s">
        <v>21</v>
      </c>
      <c r="C42" s="1" t="s">
        <v>13</v>
      </c>
      <c r="D42" s="1" t="s">
        <v>86</v>
      </c>
      <c r="E42" s="9" t="n">
        <v>3752</v>
      </c>
    </row>
    <row r="43" customFormat="false" ht="14.25" hidden="false" customHeight="false" outlineLevel="0" collapsed="false">
      <c r="A43" s="0" t="str">
        <f aca="false">CONCATENATE(B43,C43)</f>
        <v>G2025-04</v>
      </c>
      <c r="B43" s="1" t="s">
        <v>21</v>
      </c>
      <c r="C43" s="1" t="s">
        <v>14</v>
      </c>
      <c r="D43" s="1" t="s">
        <v>86</v>
      </c>
      <c r="E43" s="9" t="n">
        <v>48439</v>
      </c>
    </row>
    <row r="44" customFormat="false" ht="14.25" hidden="false" customHeight="false" outlineLevel="0" collapsed="false">
      <c r="A44" s="0" t="str">
        <f aca="false">CONCATENATE(B44,C44)</f>
        <v>G2025-05</v>
      </c>
      <c r="B44" s="1" t="s">
        <v>21</v>
      </c>
      <c r="C44" s="1" t="s">
        <v>15</v>
      </c>
      <c r="D44" s="1" t="s">
        <v>85</v>
      </c>
      <c r="E44" s="9" t="n">
        <v>15933</v>
      </c>
    </row>
    <row r="45" customFormat="false" ht="14.25" hidden="false" customHeight="false" outlineLevel="0" collapsed="false">
      <c r="A45" s="0" t="str">
        <f aca="false">CONCATENATE(B45,C45)</f>
        <v>H2024-12</v>
      </c>
      <c r="B45" s="1" t="s">
        <v>22</v>
      </c>
      <c r="C45" s="1" t="s">
        <v>10</v>
      </c>
      <c r="D45" s="1" t="s">
        <v>86</v>
      </c>
      <c r="E45" s="9" t="n">
        <v>13988</v>
      </c>
    </row>
    <row r="46" customFormat="false" ht="14.25" hidden="false" customHeight="false" outlineLevel="0" collapsed="false">
      <c r="A46" s="0" t="str">
        <f aca="false">CONCATENATE(B46,C46)</f>
        <v>H2025-01</v>
      </c>
      <c r="B46" s="1" t="s">
        <v>22</v>
      </c>
      <c r="C46" s="1" t="s">
        <v>11</v>
      </c>
      <c r="D46" s="1" t="s">
        <v>86</v>
      </c>
      <c r="E46" s="9" t="n">
        <v>44154</v>
      </c>
    </row>
    <row r="47" customFormat="false" ht="14.25" hidden="false" customHeight="false" outlineLevel="0" collapsed="false">
      <c r="A47" s="0" t="str">
        <f aca="false">CONCATENATE(B47,C47)</f>
        <v>H2025-02</v>
      </c>
      <c r="B47" s="1" t="s">
        <v>22</v>
      </c>
      <c r="C47" s="1" t="s">
        <v>12</v>
      </c>
      <c r="D47" s="1" t="s">
        <v>85</v>
      </c>
      <c r="E47" s="9" t="n">
        <v>13742</v>
      </c>
    </row>
    <row r="48" customFormat="false" ht="14.25" hidden="false" customHeight="false" outlineLevel="0" collapsed="false">
      <c r="A48" s="0" t="str">
        <f aca="false">CONCATENATE(B48,C48)</f>
        <v>H2025-03</v>
      </c>
      <c r="B48" s="1" t="s">
        <v>22</v>
      </c>
      <c r="C48" s="1" t="s">
        <v>13</v>
      </c>
      <c r="D48" s="1" t="s">
        <v>86</v>
      </c>
      <c r="E48" s="9" t="n">
        <v>4330</v>
      </c>
    </row>
    <row r="49" customFormat="false" ht="14.25" hidden="false" customHeight="false" outlineLevel="0" collapsed="false">
      <c r="A49" s="0" t="str">
        <f aca="false">CONCATENATE(B49,C49)</f>
        <v>H2025-04</v>
      </c>
      <c r="B49" s="1" t="s">
        <v>22</v>
      </c>
      <c r="C49" s="1" t="s">
        <v>14</v>
      </c>
      <c r="D49" s="1" t="s">
        <v>86</v>
      </c>
      <c r="E49" s="9" t="n">
        <v>3283</v>
      </c>
    </row>
    <row r="50" customFormat="false" ht="14.25" hidden="false" customHeight="false" outlineLevel="0" collapsed="false">
      <c r="A50" s="0" t="str">
        <f aca="false">CONCATENATE(B50,C50)</f>
        <v>H2025-05</v>
      </c>
      <c r="B50" s="1" t="s">
        <v>22</v>
      </c>
      <c r="C50" s="1" t="s">
        <v>15</v>
      </c>
      <c r="D50" s="1" t="s">
        <v>86</v>
      </c>
      <c r="E50" s="9" t="n">
        <v>2099</v>
      </c>
    </row>
    <row r="51" customFormat="false" ht="14.25" hidden="false" customHeight="false" outlineLevel="0" collapsed="false">
      <c r="A51" s="0" t="str">
        <f aca="false">CONCATENATE(B51,C51)</f>
        <v>I2024-12</v>
      </c>
      <c r="B51" s="1" t="s">
        <v>23</v>
      </c>
      <c r="C51" s="1" t="s">
        <v>10</v>
      </c>
      <c r="D51" s="1" t="s">
        <v>85</v>
      </c>
      <c r="E51" s="9" t="n">
        <v>35899</v>
      </c>
    </row>
    <row r="52" customFormat="false" ht="14.25" hidden="false" customHeight="false" outlineLevel="0" collapsed="false">
      <c r="A52" s="0" t="str">
        <f aca="false">CONCATENATE(B52,C52)</f>
        <v>I2025-01</v>
      </c>
      <c r="B52" s="1" t="s">
        <v>23</v>
      </c>
      <c r="C52" s="1" t="s">
        <v>11</v>
      </c>
      <c r="D52" s="1" t="s">
        <v>85</v>
      </c>
      <c r="E52" s="9" t="n">
        <v>11979</v>
      </c>
    </row>
    <row r="53" customFormat="false" ht="14.25" hidden="false" customHeight="false" outlineLevel="0" collapsed="false">
      <c r="A53" s="0" t="str">
        <f aca="false">CONCATENATE(B53,C53)</f>
        <v>I2025-02</v>
      </c>
      <c r="B53" s="1" t="s">
        <v>23</v>
      </c>
      <c r="C53" s="1" t="s">
        <v>12</v>
      </c>
      <c r="D53" s="1" t="s">
        <v>85</v>
      </c>
      <c r="E53" s="9" t="n">
        <v>30856</v>
      </c>
    </row>
    <row r="54" customFormat="false" ht="14.25" hidden="false" customHeight="false" outlineLevel="0" collapsed="false">
      <c r="A54" s="0" t="str">
        <f aca="false">CONCATENATE(B54,C54)</f>
        <v>I2025-03</v>
      </c>
      <c r="B54" s="1" t="s">
        <v>23</v>
      </c>
      <c r="C54" s="1" t="s">
        <v>13</v>
      </c>
      <c r="D54" s="1" t="s">
        <v>86</v>
      </c>
      <c r="E54" s="9" t="n">
        <v>12397</v>
      </c>
    </row>
    <row r="55" customFormat="false" ht="14.25" hidden="false" customHeight="false" outlineLevel="0" collapsed="false">
      <c r="A55" s="0" t="str">
        <f aca="false">CONCATENATE(B55,C55)</f>
        <v>I2025-04</v>
      </c>
      <c r="B55" s="1" t="s">
        <v>23</v>
      </c>
      <c r="C55" s="1" t="s">
        <v>14</v>
      </c>
      <c r="D55" s="1" t="s">
        <v>85</v>
      </c>
      <c r="E55" s="9" t="n">
        <v>35361</v>
      </c>
    </row>
    <row r="56" customFormat="false" ht="14.25" hidden="false" customHeight="false" outlineLevel="0" collapsed="false">
      <c r="A56" s="0" t="str">
        <f aca="false">CONCATENATE(B56,C56)</f>
        <v>I2025-05</v>
      </c>
      <c r="B56" s="1" t="s">
        <v>23</v>
      </c>
      <c r="C56" s="1" t="s">
        <v>15</v>
      </c>
      <c r="D56" s="1" t="s">
        <v>85</v>
      </c>
      <c r="E56" s="9" t="n">
        <v>13005</v>
      </c>
    </row>
    <row r="57" customFormat="false" ht="14.25" hidden="false" customHeight="false" outlineLevel="0" collapsed="false">
      <c r="A57" s="0" t="str">
        <f aca="false">CONCATENATE(B57,C57)</f>
        <v>J2024-12</v>
      </c>
      <c r="B57" s="1" t="s">
        <v>24</v>
      </c>
      <c r="C57" s="1" t="s">
        <v>10</v>
      </c>
      <c r="D57" s="1" t="s">
        <v>86</v>
      </c>
      <c r="E57" s="9" t="n">
        <v>19081</v>
      </c>
    </row>
    <row r="58" customFormat="false" ht="14.25" hidden="false" customHeight="false" outlineLevel="0" collapsed="false">
      <c r="A58" s="0" t="str">
        <f aca="false">CONCATENATE(B58,C58)</f>
        <v>J2025-01</v>
      </c>
      <c r="B58" s="1" t="s">
        <v>24</v>
      </c>
      <c r="C58" s="1" t="s">
        <v>11</v>
      </c>
      <c r="D58" s="1" t="s">
        <v>86</v>
      </c>
      <c r="E58" s="9" t="n">
        <v>7388</v>
      </c>
    </row>
    <row r="59" customFormat="false" ht="14.25" hidden="false" customHeight="false" outlineLevel="0" collapsed="false">
      <c r="A59" s="0" t="str">
        <f aca="false">CONCATENATE(B59,C59)</f>
        <v>J2025-02</v>
      </c>
      <c r="B59" s="1" t="s">
        <v>24</v>
      </c>
      <c r="C59" s="1" t="s">
        <v>12</v>
      </c>
      <c r="D59" s="1" t="s">
        <v>86</v>
      </c>
      <c r="E59" s="9" t="n">
        <v>25506</v>
      </c>
    </row>
    <row r="60" customFormat="false" ht="14.25" hidden="false" customHeight="false" outlineLevel="0" collapsed="false">
      <c r="A60" s="0" t="str">
        <f aca="false">CONCATENATE(B60,C60)</f>
        <v>J2025-03</v>
      </c>
      <c r="B60" s="1" t="s">
        <v>24</v>
      </c>
      <c r="C60" s="1" t="s">
        <v>13</v>
      </c>
      <c r="D60" s="1" t="s">
        <v>86</v>
      </c>
      <c r="E60" s="9" t="n">
        <v>10008</v>
      </c>
    </row>
    <row r="61" customFormat="false" ht="14.25" hidden="false" customHeight="false" outlineLevel="0" collapsed="false">
      <c r="A61" s="0" t="str">
        <f aca="false">CONCATENATE(B61,C61)</f>
        <v>J2025-04</v>
      </c>
      <c r="B61" s="1" t="s">
        <v>24</v>
      </c>
      <c r="C61" s="1" t="s">
        <v>14</v>
      </c>
      <c r="D61" s="1" t="s">
        <v>86</v>
      </c>
      <c r="E61" s="9" t="n">
        <v>48075</v>
      </c>
    </row>
    <row r="62" customFormat="false" ht="14.25" hidden="false" customHeight="false" outlineLevel="0" collapsed="false">
      <c r="A62" s="0" t="str">
        <f aca="false">CONCATENATE(B62,C62)</f>
        <v>J2025-05</v>
      </c>
      <c r="B62" s="1" t="s">
        <v>24</v>
      </c>
      <c r="C62" s="1" t="s">
        <v>15</v>
      </c>
      <c r="D62" s="1" t="s">
        <v>86</v>
      </c>
      <c r="E62" s="9" t="n">
        <v>9701</v>
      </c>
    </row>
    <row r="63" customFormat="false" ht="14.25" hidden="false" customHeight="false" outlineLevel="0" collapsed="false">
      <c r="A63" s="0" t="str">
        <f aca="false">CONCATENATE(B63,C63)</f>
        <v>K2024-12</v>
      </c>
      <c r="B63" s="1" t="s">
        <v>25</v>
      </c>
      <c r="C63" s="1" t="s">
        <v>10</v>
      </c>
      <c r="D63" s="1" t="s">
        <v>86</v>
      </c>
      <c r="E63" s="9" t="n">
        <v>46897</v>
      </c>
    </row>
    <row r="64" customFormat="false" ht="14.25" hidden="false" customHeight="false" outlineLevel="0" collapsed="false">
      <c r="A64" s="0" t="str">
        <f aca="false">CONCATENATE(B64,C64)</f>
        <v>K2025-01</v>
      </c>
      <c r="B64" s="1" t="s">
        <v>25</v>
      </c>
      <c r="C64" s="1" t="s">
        <v>11</v>
      </c>
      <c r="D64" s="1" t="s">
        <v>86</v>
      </c>
      <c r="E64" s="9" t="n">
        <v>47608</v>
      </c>
    </row>
    <row r="65" customFormat="false" ht="14.25" hidden="false" customHeight="false" outlineLevel="0" collapsed="false">
      <c r="A65" s="0" t="str">
        <f aca="false">CONCATENATE(B65,C65)</f>
        <v>K2025-02</v>
      </c>
      <c r="B65" s="1" t="s">
        <v>25</v>
      </c>
      <c r="C65" s="1" t="s">
        <v>12</v>
      </c>
      <c r="D65" s="1" t="s">
        <v>86</v>
      </c>
      <c r="E65" s="9" t="n">
        <v>40680</v>
      </c>
    </row>
    <row r="66" customFormat="false" ht="14.25" hidden="false" customHeight="false" outlineLevel="0" collapsed="false">
      <c r="A66" s="0" t="str">
        <f aca="false">CONCATENATE(B66,C66)</f>
        <v>K2025-03</v>
      </c>
      <c r="B66" s="1" t="s">
        <v>25</v>
      </c>
      <c r="C66" s="1" t="s">
        <v>13</v>
      </c>
      <c r="D66" s="1" t="s">
        <v>86</v>
      </c>
      <c r="E66" s="9" t="n">
        <v>32521</v>
      </c>
    </row>
    <row r="67" customFormat="false" ht="14.25" hidden="false" customHeight="false" outlineLevel="0" collapsed="false">
      <c r="A67" s="0" t="str">
        <f aca="false">CONCATENATE(B67,C67)</f>
        <v>K2025-04</v>
      </c>
      <c r="B67" s="1" t="s">
        <v>25</v>
      </c>
      <c r="C67" s="1" t="s">
        <v>14</v>
      </c>
      <c r="D67" s="1" t="s">
        <v>86</v>
      </c>
      <c r="E67" s="9" t="n">
        <v>12557</v>
      </c>
    </row>
    <row r="68" customFormat="false" ht="14.25" hidden="false" customHeight="false" outlineLevel="0" collapsed="false">
      <c r="A68" s="0" t="str">
        <f aca="false">CONCATENATE(B68,C68)</f>
        <v>K2025-05</v>
      </c>
      <c r="B68" s="1" t="s">
        <v>25</v>
      </c>
      <c r="C68" s="1" t="s">
        <v>15</v>
      </c>
      <c r="D68" s="1" t="s">
        <v>86</v>
      </c>
      <c r="E68" s="9" t="n">
        <v>7527</v>
      </c>
    </row>
    <row r="69" customFormat="false" ht="14.25" hidden="false" customHeight="false" outlineLevel="0" collapsed="false">
      <c r="A69" s="0" t="str">
        <f aca="false">CONCATENATE(B69,C69)</f>
        <v>L2024-12</v>
      </c>
      <c r="B69" s="1" t="s">
        <v>26</v>
      </c>
      <c r="C69" s="1" t="s">
        <v>10</v>
      </c>
      <c r="D69" s="1" t="s">
        <v>86</v>
      </c>
      <c r="E69" s="9" t="n">
        <v>36806</v>
      </c>
    </row>
    <row r="70" customFormat="false" ht="14.25" hidden="false" customHeight="false" outlineLevel="0" collapsed="false">
      <c r="A70" s="0" t="str">
        <f aca="false">CONCATENATE(B70,C70)</f>
        <v>L2025-01</v>
      </c>
      <c r="B70" s="1" t="s">
        <v>26</v>
      </c>
      <c r="C70" s="1" t="s">
        <v>11</v>
      </c>
      <c r="D70" s="1" t="s">
        <v>86</v>
      </c>
      <c r="E70" s="9" t="n">
        <v>21716</v>
      </c>
    </row>
    <row r="71" customFormat="false" ht="14.25" hidden="false" customHeight="false" outlineLevel="0" collapsed="false">
      <c r="A71" s="0" t="str">
        <f aca="false">CONCATENATE(B71,C71)</f>
        <v>L2025-02</v>
      </c>
      <c r="B71" s="1" t="s">
        <v>26</v>
      </c>
      <c r="C71" s="1" t="s">
        <v>12</v>
      </c>
      <c r="D71" s="1" t="s">
        <v>86</v>
      </c>
      <c r="E71" s="9" t="n">
        <v>20446</v>
      </c>
    </row>
    <row r="72" customFormat="false" ht="14.25" hidden="false" customHeight="false" outlineLevel="0" collapsed="false">
      <c r="A72" s="0" t="str">
        <f aca="false">CONCATENATE(B72,C72)</f>
        <v>L2025-03</v>
      </c>
      <c r="B72" s="1" t="s">
        <v>26</v>
      </c>
      <c r="C72" s="1" t="s">
        <v>13</v>
      </c>
      <c r="D72" s="1" t="s">
        <v>86</v>
      </c>
      <c r="E72" s="9" t="n">
        <v>23460</v>
      </c>
    </row>
    <row r="73" customFormat="false" ht="14.25" hidden="false" customHeight="false" outlineLevel="0" collapsed="false">
      <c r="A73" s="0" t="str">
        <f aca="false">CONCATENATE(B73,C73)</f>
        <v>L2025-04</v>
      </c>
      <c r="B73" s="1" t="s">
        <v>26</v>
      </c>
      <c r="C73" s="1" t="s">
        <v>14</v>
      </c>
      <c r="D73" s="1" t="s">
        <v>86</v>
      </c>
      <c r="E73" s="9" t="n">
        <v>23755</v>
      </c>
    </row>
    <row r="74" customFormat="false" ht="14.25" hidden="false" customHeight="false" outlineLevel="0" collapsed="false">
      <c r="A74" s="0" t="str">
        <f aca="false">CONCATENATE(B74,C74)</f>
        <v>L2025-05</v>
      </c>
      <c r="B74" s="1" t="s">
        <v>26</v>
      </c>
      <c r="C74" s="1" t="s">
        <v>15</v>
      </c>
      <c r="D74" s="1" t="s">
        <v>86</v>
      </c>
      <c r="E74" s="9" t="n">
        <v>47467</v>
      </c>
    </row>
    <row r="75" customFormat="false" ht="14.25" hidden="false" customHeight="false" outlineLevel="0" collapsed="false">
      <c r="A75" s="0" t="str">
        <f aca="false">CONCATENATE(B75,C75)</f>
        <v>M2024-12</v>
      </c>
      <c r="B75" s="1" t="s">
        <v>27</v>
      </c>
      <c r="C75" s="1" t="s">
        <v>10</v>
      </c>
      <c r="D75" s="1" t="s">
        <v>86</v>
      </c>
      <c r="E75" s="9" t="n">
        <v>18899</v>
      </c>
    </row>
    <row r="76" customFormat="false" ht="14.25" hidden="false" customHeight="false" outlineLevel="0" collapsed="false">
      <c r="A76" s="0" t="str">
        <f aca="false">CONCATENATE(B76,C76)</f>
        <v>M2025-01</v>
      </c>
      <c r="B76" s="1" t="s">
        <v>27</v>
      </c>
      <c r="C76" s="1" t="s">
        <v>11</v>
      </c>
      <c r="D76" s="1" t="s">
        <v>86</v>
      </c>
      <c r="E76" s="9" t="n">
        <v>9629</v>
      </c>
    </row>
    <row r="77" customFormat="false" ht="14.25" hidden="false" customHeight="false" outlineLevel="0" collapsed="false">
      <c r="A77" s="0" t="str">
        <f aca="false">CONCATENATE(B77,C77)</f>
        <v>M2025-02</v>
      </c>
      <c r="B77" s="1" t="s">
        <v>27</v>
      </c>
      <c r="C77" s="1" t="s">
        <v>12</v>
      </c>
      <c r="D77" s="1" t="s">
        <v>86</v>
      </c>
      <c r="E77" s="9" t="n">
        <v>9867</v>
      </c>
    </row>
    <row r="78" customFormat="false" ht="14.25" hidden="false" customHeight="false" outlineLevel="0" collapsed="false">
      <c r="A78" s="0" t="str">
        <f aca="false">CONCATENATE(B78,C78)</f>
        <v>M2025-03</v>
      </c>
      <c r="B78" s="1" t="s">
        <v>27</v>
      </c>
      <c r="C78" s="1" t="s">
        <v>13</v>
      </c>
      <c r="D78" s="1" t="s">
        <v>85</v>
      </c>
      <c r="E78" s="9" t="n">
        <v>26670</v>
      </c>
    </row>
    <row r="79" customFormat="false" ht="14.25" hidden="false" customHeight="false" outlineLevel="0" collapsed="false">
      <c r="A79" s="0" t="str">
        <f aca="false">CONCATENATE(B79,C79)</f>
        <v>M2025-04</v>
      </c>
      <c r="B79" s="1" t="s">
        <v>27</v>
      </c>
      <c r="C79" s="1" t="s">
        <v>14</v>
      </c>
      <c r="D79" s="1" t="s">
        <v>86</v>
      </c>
      <c r="E79" s="9" t="n">
        <v>38849</v>
      </c>
    </row>
    <row r="80" customFormat="false" ht="14.25" hidden="false" customHeight="false" outlineLevel="0" collapsed="false">
      <c r="A80" s="0" t="str">
        <f aca="false">CONCATENATE(B80,C80)</f>
        <v>M2025-05</v>
      </c>
      <c r="B80" s="1" t="s">
        <v>27</v>
      </c>
      <c r="C80" s="1" t="s">
        <v>15</v>
      </c>
      <c r="D80" s="1" t="s">
        <v>86</v>
      </c>
      <c r="E80" s="9" t="n">
        <v>19165</v>
      </c>
    </row>
    <row r="81" customFormat="false" ht="14.25" hidden="false" customHeight="false" outlineLevel="0" collapsed="false">
      <c r="A81" s="0" t="str">
        <f aca="false">CONCATENATE(B81,C81)</f>
        <v>N2024-12</v>
      </c>
      <c r="B81" s="1" t="s">
        <v>28</v>
      </c>
      <c r="C81" s="1" t="s">
        <v>10</v>
      </c>
      <c r="D81" s="1" t="s">
        <v>86</v>
      </c>
      <c r="E81" s="9" t="n">
        <v>24247</v>
      </c>
    </row>
    <row r="82" customFormat="false" ht="14.25" hidden="false" customHeight="false" outlineLevel="0" collapsed="false">
      <c r="A82" s="0" t="str">
        <f aca="false">CONCATENATE(B82,C82)</f>
        <v>N2025-01</v>
      </c>
      <c r="B82" s="1" t="s">
        <v>28</v>
      </c>
      <c r="C82" s="1" t="s">
        <v>11</v>
      </c>
      <c r="D82" s="1" t="s">
        <v>86</v>
      </c>
      <c r="E82" s="9" t="n">
        <v>36928</v>
      </c>
    </row>
    <row r="83" customFormat="false" ht="14.25" hidden="false" customHeight="false" outlineLevel="0" collapsed="false">
      <c r="A83" s="0" t="str">
        <f aca="false">CONCATENATE(B83,C83)</f>
        <v>N2025-02</v>
      </c>
      <c r="B83" s="1" t="s">
        <v>28</v>
      </c>
      <c r="C83" s="1" t="s">
        <v>12</v>
      </c>
      <c r="D83" s="1" t="s">
        <v>85</v>
      </c>
      <c r="E83" s="9" t="n">
        <v>9259</v>
      </c>
    </row>
    <row r="84" customFormat="false" ht="14.25" hidden="false" customHeight="false" outlineLevel="0" collapsed="false">
      <c r="A84" s="0" t="str">
        <f aca="false">CONCATENATE(B84,C84)</f>
        <v>N2025-03</v>
      </c>
      <c r="B84" s="1" t="s">
        <v>28</v>
      </c>
      <c r="C84" s="1" t="s">
        <v>13</v>
      </c>
      <c r="D84" s="1" t="s">
        <v>86</v>
      </c>
      <c r="E84" s="9" t="n">
        <v>44919</v>
      </c>
    </row>
    <row r="85" customFormat="false" ht="14.25" hidden="false" customHeight="false" outlineLevel="0" collapsed="false">
      <c r="A85" s="0" t="str">
        <f aca="false">CONCATENATE(B85,C85)</f>
        <v>N2025-04</v>
      </c>
      <c r="B85" s="1" t="s">
        <v>28</v>
      </c>
      <c r="C85" s="1" t="s">
        <v>14</v>
      </c>
      <c r="D85" s="1" t="s">
        <v>86</v>
      </c>
      <c r="E85" s="9" t="n">
        <v>48838</v>
      </c>
    </row>
    <row r="86" customFormat="false" ht="14.25" hidden="false" customHeight="false" outlineLevel="0" collapsed="false">
      <c r="A86" s="0" t="str">
        <f aca="false">CONCATENATE(B86,C86)</f>
        <v>N2025-05</v>
      </c>
      <c r="B86" s="1" t="s">
        <v>28</v>
      </c>
      <c r="C86" s="1" t="s">
        <v>15</v>
      </c>
      <c r="D86" s="1" t="s">
        <v>86</v>
      </c>
      <c r="E86" s="9" t="n">
        <v>20203</v>
      </c>
    </row>
    <row r="87" customFormat="false" ht="14.25" hidden="false" customHeight="false" outlineLevel="0" collapsed="false">
      <c r="A87" s="0" t="str">
        <f aca="false">CONCATENATE(B87,C87)</f>
        <v>O2024-12</v>
      </c>
      <c r="B87" s="1" t="s">
        <v>29</v>
      </c>
      <c r="C87" s="1" t="s">
        <v>10</v>
      </c>
      <c r="D87" s="1" t="s">
        <v>86</v>
      </c>
      <c r="E87" s="9" t="n">
        <v>25062</v>
      </c>
    </row>
    <row r="88" customFormat="false" ht="14.25" hidden="false" customHeight="false" outlineLevel="0" collapsed="false">
      <c r="A88" s="0" t="str">
        <f aca="false">CONCATENATE(B88,C88)</f>
        <v>O2025-01</v>
      </c>
      <c r="B88" s="1" t="s">
        <v>29</v>
      </c>
      <c r="C88" s="1" t="s">
        <v>11</v>
      </c>
      <c r="D88" s="1" t="s">
        <v>86</v>
      </c>
      <c r="E88" s="9" t="n">
        <v>34086</v>
      </c>
    </row>
    <row r="89" customFormat="false" ht="14.25" hidden="false" customHeight="false" outlineLevel="0" collapsed="false">
      <c r="A89" s="0" t="str">
        <f aca="false">CONCATENATE(B89,C89)</f>
        <v>O2025-02</v>
      </c>
      <c r="B89" s="1" t="s">
        <v>29</v>
      </c>
      <c r="C89" s="1" t="s">
        <v>12</v>
      </c>
      <c r="D89" s="1" t="s">
        <v>86</v>
      </c>
      <c r="E89" s="9" t="n">
        <v>9723</v>
      </c>
    </row>
    <row r="90" customFormat="false" ht="14.25" hidden="false" customHeight="false" outlineLevel="0" collapsed="false">
      <c r="A90" s="0" t="str">
        <f aca="false">CONCATENATE(B90,C90)</f>
        <v>O2025-03</v>
      </c>
      <c r="B90" s="1" t="s">
        <v>29</v>
      </c>
      <c r="C90" s="1" t="s">
        <v>13</v>
      </c>
      <c r="D90" s="1" t="s">
        <v>86</v>
      </c>
      <c r="E90" s="9" t="n">
        <v>8243</v>
      </c>
    </row>
    <row r="91" customFormat="false" ht="14.25" hidden="false" customHeight="false" outlineLevel="0" collapsed="false">
      <c r="A91" s="0" t="str">
        <f aca="false">CONCATENATE(B91,C91)</f>
        <v>O2025-04</v>
      </c>
      <c r="B91" s="1" t="s">
        <v>29</v>
      </c>
      <c r="C91" s="1" t="s">
        <v>14</v>
      </c>
      <c r="D91" s="1" t="s">
        <v>86</v>
      </c>
      <c r="E91" s="9" t="n">
        <v>45403</v>
      </c>
    </row>
    <row r="92" customFormat="false" ht="14.25" hidden="false" customHeight="false" outlineLevel="0" collapsed="false">
      <c r="A92" s="0" t="str">
        <f aca="false">CONCATENATE(B92,C92)</f>
        <v>O2025-05</v>
      </c>
      <c r="B92" s="1" t="s">
        <v>29</v>
      </c>
      <c r="C92" s="1" t="s">
        <v>15</v>
      </c>
      <c r="D92" s="1" t="s">
        <v>86</v>
      </c>
      <c r="E92" s="9" t="n">
        <v>40794</v>
      </c>
    </row>
    <row r="93" customFormat="false" ht="14.25" hidden="false" customHeight="false" outlineLevel="0" collapsed="false">
      <c r="A93" s="0" t="str">
        <f aca="false">CONCATENATE(B93,C93)</f>
        <v>P2024-12</v>
      </c>
      <c r="B93" s="1" t="s">
        <v>30</v>
      </c>
      <c r="C93" s="1" t="s">
        <v>10</v>
      </c>
      <c r="D93" s="1" t="s">
        <v>86</v>
      </c>
      <c r="E93" s="9" t="n">
        <v>26265</v>
      </c>
    </row>
    <row r="94" customFormat="false" ht="14.25" hidden="false" customHeight="false" outlineLevel="0" collapsed="false">
      <c r="A94" s="0" t="str">
        <f aca="false">CONCATENATE(B94,C94)</f>
        <v>P2025-01</v>
      </c>
      <c r="B94" s="1" t="s">
        <v>30</v>
      </c>
      <c r="C94" s="1" t="s">
        <v>11</v>
      </c>
      <c r="D94" s="1" t="s">
        <v>86</v>
      </c>
      <c r="E94" s="9" t="n">
        <v>34662</v>
      </c>
    </row>
    <row r="95" customFormat="false" ht="14.25" hidden="false" customHeight="false" outlineLevel="0" collapsed="false">
      <c r="A95" s="0" t="str">
        <f aca="false">CONCATENATE(B95,C95)</f>
        <v>P2025-02</v>
      </c>
      <c r="B95" s="1" t="s">
        <v>30</v>
      </c>
      <c r="C95" s="1" t="s">
        <v>12</v>
      </c>
      <c r="D95" s="1" t="s">
        <v>86</v>
      </c>
      <c r="E95" s="9" t="n">
        <v>45834</v>
      </c>
    </row>
    <row r="96" customFormat="false" ht="14.25" hidden="false" customHeight="false" outlineLevel="0" collapsed="false">
      <c r="A96" s="0" t="str">
        <f aca="false">CONCATENATE(B96,C96)</f>
        <v>P2025-03</v>
      </c>
      <c r="B96" s="1" t="s">
        <v>30</v>
      </c>
      <c r="C96" s="1" t="s">
        <v>13</v>
      </c>
      <c r="D96" s="1" t="s">
        <v>85</v>
      </c>
      <c r="E96" s="9" t="n">
        <v>17384</v>
      </c>
    </row>
    <row r="97" customFormat="false" ht="14.25" hidden="false" customHeight="false" outlineLevel="0" collapsed="false">
      <c r="A97" s="0" t="str">
        <f aca="false">CONCATENATE(B97,C97)</f>
        <v>P2025-04</v>
      </c>
      <c r="B97" s="1" t="s">
        <v>30</v>
      </c>
      <c r="C97" s="1" t="s">
        <v>14</v>
      </c>
      <c r="D97" s="1" t="s">
        <v>85</v>
      </c>
      <c r="E97" s="9" t="n">
        <v>5030</v>
      </c>
    </row>
    <row r="98" customFormat="false" ht="14.25" hidden="false" customHeight="false" outlineLevel="0" collapsed="false">
      <c r="A98" s="0" t="str">
        <f aca="false">CONCATENATE(B98,C98)</f>
        <v>P2025-05</v>
      </c>
      <c r="B98" s="1" t="s">
        <v>30</v>
      </c>
      <c r="C98" s="1" t="s">
        <v>15</v>
      </c>
      <c r="D98" s="1" t="s">
        <v>86</v>
      </c>
      <c r="E98" s="9" t="n">
        <v>8067</v>
      </c>
    </row>
    <row r="99" customFormat="false" ht="14.25" hidden="false" customHeight="false" outlineLevel="0" collapsed="false">
      <c r="A99" s="0" t="str">
        <f aca="false">CONCATENATE(B99,C99)</f>
        <v>Q2024-12</v>
      </c>
      <c r="B99" s="1" t="s">
        <v>31</v>
      </c>
      <c r="C99" s="1" t="s">
        <v>10</v>
      </c>
      <c r="D99" s="1" t="s">
        <v>86</v>
      </c>
      <c r="E99" s="9" t="n">
        <v>20995</v>
      </c>
    </row>
    <row r="100" customFormat="false" ht="14.25" hidden="false" customHeight="false" outlineLevel="0" collapsed="false">
      <c r="A100" s="0" t="str">
        <f aca="false">CONCATENATE(B100,C100)</f>
        <v>Q2025-01</v>
      </c>
      <c r="B100" s="1" t="s">
        <v>31</v>
      </c>
      <c r="C100" s="1" t="s">
        <v>11</v>
      </c>
      <c r="D100" s="1" t="s">
        <v>86</v>
      </c>
      <c r="E100" s="9" t="n">
        <v>20013</v>
      </c>
    </row>
    <row r="101" customFormat="false" ht="14.25" hidden="false" customHeight="false" outlineLevel="0" collapsed="false">
      <c r="A101" s="0" t="str">
        <f aca="false">CONCATENATE(B101,C101)</f>
        <v>Q2025-02</v>
      </c>
      <c r="B101" s="1" t="s">
        <v>31</v>
      </c>
      <c r="C101" s="1" t="s">
        <v>12</v>
      </c>
      <c r="D101" s="1" t="s">
        <v>86</v>
      </c>
      <c r="E101" s="9" t="n">
        <v>6886</v>
      </c>
    </row>
    <row r="102" customFormat="false" ht="14.25" hidden="false" customHeight="false" outlineLevel="0" collapsed="false">
      <c r="A102" s="0" t="str">
        <f aca="false">CONCATENATE(B102,C102)</f>
        <v>Q2025-03</v>
      </c>
      <c r="B102" s="1" t="s">
        <v>31</v>
      </c>
      <c r="C102" s="1" t="s">
        <v>13</v>
      </c>
      <c r="D102" s="1" t="s">
        <v>86</v>
      </c>
      <c r="E102" s="9" t="n">
        <v>9075</v>
      </c>
    </row>
    <row r="103" customFormat="false" ht="14.25" hidden="false" customHeight="false" outlineLevel="0" collapsed="false">
      <c r="A103" s="0" t="str">
        <f aca="false">CONCATENATE(B103,C103)</f>
        <v>Q2025-04</v>
      </c>
      <c r="B103" s="1" t="s">
        <v>31</v>
      </c>
      <c r="C103" s="1" t="s">
        <v>14</v>
      </c>
      <c r="D103" s="1" t="s">
        <v>86</v>
      </c>
      <c r="E103" s="9" t="n">
        <v>48175</v>
      </c>
    </row>
    <row r="104" customFormat="false" ht="14.25" hidden="false" customHeight="false" outlineLevel="0" collapsed="false">
      <c r="A104" s="0" t="str">
        <f aca="false">CONCATENATE(B104,C104)</f>
        <v>Q2025-05</v>
      </c>
      <c r="B104" s="1" t="s">
        <v>31</v>
      </c>
      <c r="C104" s="1" t="s">
        <v>15</v>
      </c>
      <c r="D104" s="1" t="s">
        <v>86</v>
      </c>
      <c r="E104" s="9" t="n">
        <v>16414</v>
      </c>
    </row>
    <row r="105" customFormat="false" ht="14.25" hidden="false" customHeight="false" outlineLevel="0" collapsed="false">
      <c r="A105" s="0" t="str">
        <f aca="false">CONCATENATE(B105,C105)</f>
        <v>R2024-12</v>
      </c>
      <c r="B105" s="1" t="s">
        <v>32</v>
      </c>
      <c r="C105" s="1" t="s">
        <v>10</v>
      </c>
      <c r="D105" s="1" t="s">
        <v>86</v>
      </c>
      <c r="E105" s="9" t="n">
        <v>27340</v>
      </c>
    </row>
    <row r="106" customFormat="false" ht="14.25" hidden="false" customHeight="false" outlineLevel="0" collapsed="false">
      <c r="A106" s="0" t="str">
        <f aca="false">CONCATENATE(B106,C106)</f>
        <v>R2025-01</v>
      </c>
      <c r="B106" s="1" t="s">
        <v>32</v>
      </c>
      <c r="C106" s="1" t="s">
        <v>11</v>
      </c>
      <c r="D106" s="1" t="s">
        <v>86</v>
      </c>
      <c r="E106" s="9" t="n">
        <v>4440</v>
      </c>
    </row>
    <row r="107" customFormat="false" ht="14.25" hidden="false" customHeight="false" outlineLevel="0" collapsed="false">
      <c r="A107" s="0" t="str">
        <f aca="false">CONCATENATE(B107,C107)</f>
        <v>R2025-02</v>
      </c>
      <c r="B107" s="1" t="s">
        <v>32</v>
      </c>
      <c r="C107" s="1" t="s">
        <v>12</v>
      </c>
      <c r="D107" s="1" t="s">
        <v>86</v>
      </c>
      <c r="E107" s="9" t="n">
        <v>19562</v>
      </c>
    </row>
    <row r="108" customFormat="false" ht="14.25" hidden="false" customHeight="false" outlineLevel="0" collapsed="false">
      <c r="A108" s="0" t="str">
        <f aca="false">CONCATENATE(B108,C108)</f>
        <v>R2025-03</v>
      </c>
      <c r="B108" s="1" t="s">
        <v>32</v>
      </c>
      <c r="C108" s="1" t="s">
        <v>13</v>
      </c>
      <c r="D108" s="1" t="s">
        <v>85</v>
      </c>
      <c r="E108" s="9" t="n">
        <v>28803</v>
      </c>
    </row>
    <row r="109" customFormat="false" ht="14.25" hidden="false" customHeight="false" outlineLevel="0" collapsed="false">
      <c r="A109" s="0" t="str">
        <f aca="false">CONCATENATE(B109,C109)</f>
        <v>R2025-04</v>
      </c>
      <c r="B109" s="1" t="s">
        <v>32</v>
      </c>
      <c r="C109" s="1" t="s">
        <v>14</v>
      </c>
      <c r="D109" s="1" t="s">
        <v>86</v>
      </c>
      <c r="E109" s="9" t="n">
        <v>4109</v>
      </c>
    </row>
    <row r="110" customFormat="false" ht="14.25" hidden="false" customHeight="false" outlineLevel="0" collapsed="false">
      <c r="A110" s="0" t="str">
        <f aca="false">CONCATENATE(B110,C110)</f>
        <v>R2025-05</v>
      </c>
      <c r="B110" s="1" t="s">
        <v>32</v>
      </c>
      <c r="C110" s="1" t="s">
        <v>15</v>
      </c>
      <c r="D110" s="1" t="s">
        <v>86</v>
      </c>
      <c r="E110" s="9" t="n">
        <v>31357</v>
      </c>
    </row>
    <row r="111" customFormat="false" ht="14.25" hidden="false" customHeight="false" outlineLevel="0" collapsed="false">
      <c r="A111" s="0" t="str">
        <f aca="false">CONCATENATE(B111,C111)</f>
        <v>S2024-12</v>
      </c>
      <c r="B111" s="1" t="s">
        <v>33</v>
      </c>
      <c r="C111" s="1" t="s">
        <v>10</v>
      </c>
      <c r="D111" s="1" t="s">
        <v>85</v>
      </c>
      <c r="E111" s="9" t="n">
        <v>41566</v>
      </c>
    </row>
    <row r="112" customFormat="false" ht="14.25" hidden="false" customHeight="false" outlineLevel="0" collapsed="false">
      <c r="A112" s="0" t="str">
        <f aca="false">CONCATENATE(B112,C112)</f>
        <v>S2025-01</v>
      </c>
      <c r="B112" s="1" t="s">
        <v>33</v>
      </c>
      <c r="C112" s="1" t="s">
        <v>11</v>
      </c>
      <c r="D112" s="1" t="s">
        <v>85</v>
      </c>
      <c r="E112" s="9" t="n">
        <v>28545</v>
      </c>
    </row>
    <row r="113" customFormat="false" ht="14.25" hidden="false" customHeight="false" outlineLevel="0" collapsed="false">
      <c r="A113" s="0" t="str">
        <f aca="false">CONCATENATE(B113,C113)</f>
        <v>S2025-02</v>
      </c>
      <c r="B113" s="1" t="s">
        <v>33</v>
      </c>
      <c r="C113" s="1" t="s">
        <v>12</v>
      </c>
      <c r="D113" s="1" t="s">
        <v>86</v>
      </c>
      <c r="E113" s="9" t="n">
        <v>41648</v>
      </c>
    </row>
    <row r="114" customFormat="false" ht="14.25" hidden="false" customHeight="false" outlineLevel="0" collapsed="false">
      <c r="A114" s="0" t="str">
        <f aca="false">CONCATENATE(B114,C114)</f>
        <v>S2025-03</v>
      </c>
      <c r="B114" s="1" t="s">
        <v>33</v>
      </c>
      <c r="C114" s="1" t="s">
        <v>13</v>
      </c>
      <c r="D114" s="1" t="s">
        <v>86</v>
      </c>
      <c r="E114" s="9" t="n">
        <v>32796</v>
      </c>
    </row>
    <row r="115" customFormat="false" ht="14.25" hidden="false" customHeight="false" outlineLevel="0" collapsed="false">
      <c r="A115" s="0" t="str">
        <f aca="false">CONCATENATE(B115,C115)</f>
        <v>S2025-04</v>
      </c>
      <c r="B115" s="1" t="s">
        <v>33</v>
      </c>
      <c r="C115" s="1" t="s">
        <v>14</v>
      </c>
      <c r="D115" s="1" t="s">
        <v>86</v>
      </c>
      <c r="E115" s="9" t="n">
        <v>34248</v>
      </c>
    </row>
    <row r="116" customFormat="false" ht="14.25" hidden="false" customHeight="false" outlineLevel="0" collapsed="false">
      <c r="A116" s="0" t="str">
        <f aca="false">CONCATENATE(B116,C116)</f>
        <v>S2025-05</v>
      </c>
      <c r="B116" s="1" t="s">
        <v>33</v>
      </c>
      <c r="C116" s="1" t="s">
        <v>15</v>
      </c>
      <c r="D116" s="1" t="s">
        <v>86</v>
      </c>
      <c r="E116" s="9" t="n">
        <v>44925</v>
      </c>
    </row>
    <row r="117" customFormat="false" ht="14.25" hidden="false" customHeight="false" outlineLevel="0" collapsed="false">
      <c r="A117" s="0" t="str">
        <f aca="false">CONCATENATE(B117,C117)</f>
        <v>T2024-12</v>
      </c>
      <c r="B117" s="1" t="s">
        <v>34</v>
      </c>
      <c r="C117" s="1" t="s">
        <v>10</v>
      </c>
      <c r="D117" s="1" t="s">
        <v>85</v>
      </c>
      <c r="E117" s="9" t="n">
        <v>48541</v>
      </c>
    </row>
    <row r="118" customFormat="false" ht="14.25" hidden="false" customHeight="false" outlineLevel="0" collapsed="false">
      <c r="A118" s="0" t="str">
        <f aca="false">CONCATENATE(B118,C118)</f>
        <v>T2025-01</v>
      </c>
      <c r="B118" s="1" t="s">
        <v>34</v>
      </c>
      <c r="C118" s="1" t="s">
        <v>11</v>
      </c>
      <c r="D118" s="1" t="s">
        <v>86</v>
      </c>
      <c r="E118" s="9" t="n">
        <v>35551</v>
      </c>
    </row>
    <row r="119" customFormat="false" ht="14.25" hidden="false" customHeight="false" outlineLevel="0" collapsed="false">
      <c r="A119" s="0" t="str">
        <f aca="false">CONCATENATE(B119,C119)</f>
        <v>T2025-02</v>
      </c>
      <c r="B119" s="1" t="s">
        <v>34</v>
      </c>
      <c r="C119" s="1" t="s">
        <v>12</v>
      </c>
      <c r="D119" s="1" t="s">
        <v>86</v>
      </c>
      <c r="E119" s="9" t="n">
        <v>17876</v>
      </c>
    </row>
    <row r="120" customFormat="false" ht="14.25" hidden="false" customHeight="false" outlineLevel="0" collapsed="false">
      <c r="A120" s="0" t="str">
        <f aca="false">CONCATENATE(B120,C120)</f>
        <v>T2025-03</v>
      </c>
      <c r="B120" s="1" t="s">
        <v>34</v>
      </c>
      <c r="C120" s="1" t="s">
        <v>13</v>
      </c>
      <c r="D120" s="1" t="s">
        <v>85</v>
      </c>
      <c r="E120" s="9" t="n">
        <v>47298</v>
      </c>
    </row>
    <row r="121" customFormat="false" ht="14.25" hidden="false" customHeight="false" outlineLevel="0" collapsed="false">
      <c r="A121" s="0" t="str">
        <f aca="false">CONCATENATE(B121,C121)</f>
        <v>T2025-04</v>
      </c>
      <c r="B121" s="1" t="s">
        <v>34</v>
      </c>
      <c r="C121" s="1" t="s">
        <v>14</v>
      </c>
      <c r="D121" s="1" t="s">
        <v>86</v>
      </c>
      <c r="E121" s="9" t="n">
        <v>35483</v>
      </c>
    </row>
    <row r="122" customFormat="false" ht="14.25" hidden="false" customHeight="false" outlineLevel="0" collapsed="false">
      <c r="A122" s="0" t="str">
        <f aca="false">CONCATENATE(B122,C122)</f>
        <v>T2025-05</v>
      </c>
      <c r="B122" s="1" t="s">
        <v>34</v>
      </c>
      <c r="C122" s="1" t="s">
        <v>15</v>
      </c>
      <c r="D122" s="1" t="s">
        <v>86</v>
      </c>
      <c r="E122" s="9" t="n">
        <v>45775</v>
      </c>
    </row>
    <row r="123" customFormat="false" ht="14.25" hidden="false" customHeight="false" outlineLevel="0" collapsed="false">
      <c r="A123" s="0" t="str">
        <f aca="false">CONCATENATE(B123,C123)</f>
        <v>U2024-12</v>
      </c>
      <c r="B123" s="1" t="s">
        <v>35</v>
      </c>
      <c r="C123" s="1" t="s">
        <v>10</v>
      </c>
      <c r="D123" s="1" t="s">
        <v>86</v>
      </c>
      <c r="E123" s="9" t="n">
        <v>41749</v>
      </c>
    </row>
    <row r="124" customFormat="false" ht="14.25" hidden="false" customHeight="false" outlineLevel="0" collapsed="false">
      <c r="A124" s="0" t="str">
        <f aca="false">CONCATENATE(B124,C124)</f>
        <v>U2025-01</v>
      </c>
      <c r="B124" s="1" t="s">
        <v>35</v>
      </c>
      <c r="C124" s="1" t="s">
        <v>11</v>
      </c>
      <c r="D124" s="1" t="s">
        <v>86</v>
      </c>
      <c r="E124" s="9" t="n">
        <v>47188</v>
      </c>
    </row>
    <row r="125" customFormat="false" ht="14.25" hidden="false" customHeight="false" outlineLevel="0" collapsed="false">
      <c r="A125" s="0" t="str">
        <f aca="false">CONCATENATE(B125,C125)</f>
        <v>U2025-02</v>
      </c>
      <c r="B125" s="1" t="s">
        <v>35</v>
      </c>
      <c r="C125" s="1" t="s">
        <v>12</v>
      </c>
      <c r="D125" s="1" t="s">
        <v>86</v>
      </c>
      <c r="E125" s="9" t="n">
        <v>6239</v>
      </c>
    </row>
    <row r="126" customFormat="false" ht="14.25" hidden="false" customHeight="false" outlineLevel="0" collapsed="false">
      <c r="A126" s="0" t="str">
        <f aca="false">CONCATENATE(B126,C126)</f>
        <v>U2025-03</v>
      </c>
      <c r="B126" s="1" t="s">
        <v>35</v>
      </c>
      <c r="C126" s="1" t="s">
        <v>13</v>
      </c>
      <c r="D126" s="1" t="s">
        <v>86</v>
      </c>
      <c r="E126" s="9" t="n">
        <v>25102</v>
      </c>
    </row>
    <row r="127" customFormat="false" ht="14.25" hidden="false" customHeight="false" outlineLevel="0" collapsed="false">
      <c r="A127" s="0" t="str">
        <f aca="false">CONCATENATE(B127,C127)</f>
        <v>U2025-04</v>
      </c>
      <c r="B127" s="1" t="s">
        <v>35</v>
      </c>
      <c r="C127" s="1" t="s">
        <v>14</v>
      </c>
      <c r="D127" s="1" t="s">
        <v>85</v>
      </c>
      <c r="E127" s="9" t="n">
        <v>47907</v>
      </c>
    </row>
    <row r="128" customFormat="false" ht="14.25" hidden="false" customHeight="false" outlineLevel="0" collapsed="false">
      <c r="A128" s="0" t="str">
        <f aca="false">CONCATENATE(B128,C128)</f>
        <v>U2025-05</v>
      </c>
      <c r="B128" s="1" t="s">
        <v>35</v>
      </c>
      <c r="C128" s="1" t="s">
        <v>15</v>
      </c>
      <c r="D128" s="1" t="s">
        <v>86</v>
      </c>
      <c r="E128" s="9" t="n">
        <v>32310</v>
      </c>
    </row>
    <row r="129" customFormat="false" ht="14.25" hidden="false" customHeight="false" outlineLevel="0" collapsed="false">
      <c r="A129" s="0" t="str">
        <f aca="false">CONCATENATE(B129,C129)</f>
        <v>V2024-12</v>
      </c>
      <c r="B129" s="1" t="s">
        <v>36</v>
      </c>
      <c r="C129" s="1" t="s">
        <v>10</v>
      </c>
      <c r="D129" s="1" t="s">
        <v>86</v>
      </c>
      <c r="E129" s="9" t="n">
        <v>20008</v>
      </c>
    </row>
    <row r="130" customFormat="false" ht="14.25" hidden="false" customHeight="false" outlineLevel="0" collapsed="false">
      <c r="A130" s="0" t="str">
        <f aca="false">CONCATENATE(B130,C130)</f>
        <v>V2025-01</v>
      </c>
      <c r="B130" s="1" t="s">
        <v>36</v>
      </c>
      <c r="C130" s="1" t="s">
        <v>11</v>
      </c>
      <c r="D130" s="1" t="s">
        <v>86</v>
      </c>
      <c r="E130" s="9" t="n">
        <v>43449</v>
      </c>
    </row>
    <row r="131" customFormat="false" ht="14.25" hidden="false" customHeight="false" outlineLevel="0" collapsed="false">
      <c r="A131" s="0" t="str">
        <f aca="false">CONCATENATE(B131,C131)</f>
        <v>V2025-02</v>
      </c>
      <c r="B131" s="1" t="s">
        <v>36</v>
      </c>
      <c r="C131" s="1" t="s">
        <v>12</v>
      </c>
      <c r="D131" s="1" t="s">
        <v>86</v>
      </c>
      <c r="E131" s="9" t="n">
        <v>31682</v>
      </c>
    </row>
    <row r="132" customFormat="false" ht="14.25" hidden="false" customHeight="false" outlineLevel="0" collapsed="false">
      <c r="A132" s="0" t="str">
        <f aca="false">CONCATENATE(B132,C132)</f>
        <v>V2025-03</v>
      </c>
      <c r="B132" s="1" t="s">
        <v>36</v>
      </c>
      <c r="C132" s="1" t="s">
        <v>13</v>
      </c>
      <c r="D132" s="1" t="s">
        <v>85</v>
      </c>
      <c r="E132" s="9" t="n">
        <v>48767</v>
      </c>
    </row>
    <row r="133" customFormat="false" ht="14.25" hidden="false" customHeight="false" outlineLevel="0" collapsed="false">
      <c r="A133" s="0" t="str">
        <f aca="false">CONCATENATE(B133,C133)</f>
        <v>V2025-04</v>
      </c>
      <c r="B133" s="1" t="s">
        <v>36</v>
      </c>
      <c r="C133" s="1" t="s">
        <v>14</v>
      </c>
      <c r="D133" s="1" t="s">
        <v>86</v>
      </c>
      <c r="E133" s="9" t="n">
        <v>37251</v>
      </c>
    </row>
    <row r="134" customFormat="false" ht="14.25" hidden="false" customHeight="false" outlineLevel="0" collapsed="false">
      <c r="A134" s="0" t="str">
        <f aca="false">CONCATENATE(B134,C134)</f>
        <v>V2025-05</v>
      </c>
      <c r="B134" s="1" t="s">
        <v>36</v>
      </c>
      <c r="C134" s="1" t="s">
        <v>15</v>
      </c>
      <c r="D134" s="1" t="s">
        <v>85</v>
      </c>
      <c r="E134" s="9" t="n">
        <v>22468</v>
      </c>
    </row>
    <row r="135" customFormat="false" ht="14.25" hidden="false" customHeight="false" outlineLevel="0" collapsed="false">
      <c r="A135" s="0" t="str">
        <f aca="false">CONCATENATE(B135,C135)</f>
        <v>X2024-12</v>
      </c>
      <c r="B135" s="1" t="s">
        <v>37</v>
      </c>
      <c r="C135" s="1" t="s">
        <v>10</v>
      </c>
      <c r="D135" s="1" t="s">
        <v>86</v>
      </c>
      <c r="E135" s="9" t="n">
        <v>46567</v>
      </c>
    </row>
    <row r="136" customFormat="false" ht="14.25" hidden="false" customHeight="false" outlineLevel="0" collapsed="false">
      <c r="A136" s="0" t="str">
        <f aca="false">CONCATENATE(B136,C136)</f>
        <v>X2025-01</v>
      </c>
      <c r="B136" s="1" t="s">
        <v>37</v>
      </c>
      <c r="C136" s="1" t="s">
        <v>11</v>
      </c>
      <c r="D136" s="1" t="s">
        <v>85</v>
      </c>
      <c r="E136" s="9" t="n">
        <v>6613</v>
      </c>
    </row>
    <row r="137" customFormat="false" ht="14.25" hidden="false" customHeight="false" outlineLevel="0" collapsed="false">
      <c r="A137" s="0" t="str">
        <f aca="false">CONCATENATE(B137,C137)</f>
        <v>X2025-02</v>
      </c>
      <c r="B137" s="1" t="s">
        <v>37</v>
      </c>
      <c r="C137" s="1" t="s">
        <v>12</v>
      </c>
      <c r="D137" s="1" t="s">
        <v>86</v>
      </c>
      <c r="E137" s="9" t="n">
        <v>46185</v>
      </c>
    </row>
    <row r="138" customFormat="false" ht="14.25" hidden="false" customHeight="false" outlineLevel="0" collapsed="false">
      <c r="A138" s="0" t="str">
        <f aca="false">CONCATENATE(B138,C138)</f>
        <v>X2025-03</v>
      </c>
      <c r="B138" s="1" t="s">
        <v>37</v>
      </c>
      <c r="C138" s="1" t="s">
        <v>13</v>
      </c>
      <c r="D138" s="1" t="s">
        <v>86</v>
      </c>
      <c r="E138" s="9" t="n">
        <v>13135</v>
      </c>
    </row>
    <row r="139" customFormat="false" ht="14.25" hidden="false" customHeight="false" outlineLevel="0" collapsed="false">
      <c r="A139" s="0" t="str">
        <f aca="false">CONCATENATE(B139,C139)</f>
        <v>X2025-04</v>
      </c>
      <c r="B139" s="1" t="s">
        <v>37</v>
      </c>
      <c r="C139" s="1" t="s">
        <v>14</v>
      </c>
      <c r="D139" s="1" t="s">
        <v>86</v>
      </c>
      <c r="E139" s="9" t="n">
        <v>24902</v>
      </c>
    </row>
    <row r="140" customFormat="false" ht="14.25" hidden="false" customHeight="false" outlineLevel="0" collapsed="false">
      <c r="A140" s="0" t="str">
        <f aca="false">CONCATENATE(B140,C140)</f>
        <v>X2025-05</v>
      </c>
      <c r="B140" s="1" t="s">
        <v>37</v>
      </c>
      <c r="C140" s="1" t="s">
        <v>15</v>
      </c>
      <c r="D140" s="1" t="s">
        <v>85</v>
      </c>
      <c r="E140" s="9" t="n">
        <v>21992</v>
      </c>
    </row>
    <row r="141" customFormat="false" ht="14.25" hidden="false" customHeight="false" outlineLevel="0" collapsed="false">
      <c r="A141" s="0" t="str">
        <f aca="false">CONCATENATE(B141,C141)</f>
        <v>W2024-12</v>
      </c>
      <c r="B141" s="1" t="s">
        <v>38</v>
      </c>
      <c r="C141" s="1" t="s">
        <v>10</v>
      </c>
      <c r="D141" s="1" t="s">
        <v>86</v>
      </c>
      <c r="E141" s="9" t="n">
        <v>43954</v>
      </c>
    </row>
    <row r="142" customFormat="false" ht="14.25" hidden="false" customHeight="false" outlineLevel="0" collapsed="false">
      <c r="A142" s="0" t="str">
        <f aca="false">CONCATENATE(B142,C142)</f>
        <v>W2025-01</v>
      </c>
      <c r="B142" s="1" t="s">
        <v>38</v>
      </c>
      <c r="C142" s="1" t="s">
        <v>11</v>
      </c>
      <c r="D142" s="1" t="s">
        <v>86</v>
      </c>
      <c r="E142" s="9" t="n">
        <v>17602</v>
      </c>
    </row>
    <row r="143" customFormat="false" ht="14.25" hidden="false" customHeight="false" outlineLevel="0" collapsed="false">
      <c r="A143" s="0" t="str">
        <f aca="false">CONCATENATE(B143,C143)</f>
        <v>W2025-02</v>
      </c>
      <c r="B143" s="1" t="s">
        <v>38</v>
      </c>
      <c r="C143" s="1" t="s">
        <v>12</v>
      </c>
      <c r="D143" s="1" t="s">
        <v>86</v>
      </c>
      <c r="E143" s="9" t="n">
        <v>49685</v>
      </c>
    </row>
    <row r="144" customFormat="false" ht="14.25" hidden="false" customHeight="false" outlineLevel="0" collapsed="false">
      <c r="A144" s="0" t="str">
        <f aca="false">CONCATENATE(B144,C144)</f>
        <v>W2025-03</v>
      </c>
      <c r="B144" s="1" t="s">
        <v>38</v>
      </c>
      <c r="C144" s="1" t="s">
        <v>13</v>
      </c>
      <c r="D144" s="1" t="s">
        <v>86</v>
      </c>
      <c r="E144" s="9" t="n">
        <v>42082</v>
      </c>
    </row>
    <row r="145" customFormat="false" ht="14.25" hidden="false" customHeight="false" outlineLevel="0" collapsed="false">
      <c r="A145" s="0" t="str">
        <f aca="false">CONCATENATE(B145,C145)</f>
        <v>W2025-04</v>
      </c>
      <c r="B145" s="1" t="s">
        <v>38</v>
      </c>
      <c r="C145" s="1" t="s">
        <v>14</v>
      </c>
      <c r="D145" s="1" t="s">
        <v>86</v>
      </c>
      <c r="E145" s="9" t="n">
        <v>43161</v>
      </c>
    </row>
    <row r="146" customFormat="false" ht="14.25" hidden="false" customHeight="false" outlineLevel="0" collapsed="false">
      <c r="A146" s="0" t="str">
        <f aca="false">CONCATENATE(B146,C146)</f>
        <v>W2025-05</v>
      </c>
      <c r="B146" s="1" t="s">
        <v>38</v>
      </c>
      <c r="C146" s="1" t="s">
        <v>15</v>
      </c>
      <c r="D146" s="1" t="s">
        <v>86</v>
      </c>
      <c r="E146" s="9" t="n">
        <v>36095</v>
      </c>
    </row>
    <row r="147" customFormat="false" ht="14.25" hidden="false" customHeight="false" outlineLevel="0" collapsed="false">
      <c r="A147" s="0" t="str">
        <f aca="false">CONCATENATE(B147,C147)</f>
        <v>Y2024-12</v>
      </c>
      <c r="B147" s="1" t="s">
        <v>39</v>
      </c>
      <c r="C147" s="1" t="s">
        <v>10</v>
      </c>
      <c r="D147" s="1" t="s">
        <v>86</v>
      </c>
      <c r="E147" s="9" t="n">
        <v>11107</v>
      </c>
    </row>
    <row r="148" customFormat="false" ht="14.25" hidden="false" customHeight="false" outlineLevel="0" collapsed="false">
      <c r="A148" s="0" t="str">
        <f aca="false">CONCATENATE(B148,C148)</f>
        <v>Y2025-01</v>
      </c>
      <c r="B148" s="1" t="s">
        <v>39</v>
      </c>
      <c r="C148" s="1" t="s">
        <v>11</v>
      </c>
      <c r="D148" s="1" t="s">
        <v>86</v>
      </c>
      <c r="E148" s="9" t="n">
        <v>26020</v>
      </c>
    </row>
    <row r="149" customFormat="false" ht="14.25" hidden="false" customHeight="false" outlineLevel="0" collapsed="false">
      <c r="A149" s="0" t="str">
        <f aca="false">CONCATENATE(B149,C149)</f>
        <v>Y2025-02</v>
      </c>
      <c r="B149" s="1" t="s">
        <v>39</v>
      </c>
      <c r="C149" s="1" t="s">
        <v>12</v>
      </c>
      <c r="D149" s="1" t="s">
        <v>85</v>
      </c>
      <c r="E149" s="9" t="n">
        <v>25224</v>
      </c>
    </row>
    <row r="150" customFormat="false" ht="14.25" hidden="false" customHeight="false" outlineLevel="0" collapsed="false">
      <c r="A150" s="0" t="str">
        <f aca="false">CONCATENATE(B150,C150)</f>
        <v>Y2025-03</v>
      </c>
      <c r="B150" s="1" t="s">
        <v>39</v>
      </c>
      <c r="C150" s="1" t="s">
        <v>13</v>
      </c>
      <c r="D150" s="1" t="s">
        <v>86</v>
      </c>
      <c r="E150" s="9" t="n">
        <v>20585</v>
      </c>
    </row>
    <row r="151" customFormat="false" ht="14.25" hidden="false" customHeight="false" outlineLevel="0" collapsed="false">
      <c r="A151" s="0" t="str">
        <f aca="false">CONCATENATE(B151,C151)</f>
        <v>Y2025-04</v>
      </c>
      <c r="B151" s="1" t="s">
        <v>39</v>
      </c>
      <c r="C151" s="1" t="s">
        <v>14</v>
      </c>
      <c r="D151" s="1" t="s">
        <v>85</v>
      </c>
      <c r="E151" s="9" t="n">
        <v>45898</v>
      </c>
    </row>
    <row r="152" customFormat="false" ht="14.25" hidden="false" customHeight="false" outlineLevel="0" collapsed="false">
      <c r="A152" s="0" t="str">
        <f aca="false">CONCATENATE(B152,C152)</f>
        <v>Y2025-05</v>
      </c>
      <c r="B152" s="1" t="s">
        <v>39</v>
      </c>
      <c r="C152" s="1" t="s">
        <v>15</v>
      </c>
      <c r="D152" s="1" t="s">
        <v>86</v>
      </c>
      <c r="E152" s="9" t="n">
        <v>9265</v>
      </c>
    </row>
    <row r="153" customFormat="false" ht="14.25" hidden="false" customHeight="false" outlineLevel="0" collapsed="false">
      <c r="A153" s="0" t="str">
        <f aca="false">CONCATENATE(B153,C153)</f>
        <v>Z2024-12</v>
      </c>
      <c r="B153" s="1" t="s">
        <v>40</v>
      </c>
      <c r="C153" s="1" t="s">
        <v>10</v>
      </c>
      <c r="D153" s="1" t="s">
        <v>86</v>
      </c>
      <c r="E153" s="9" t="n">
        <v>7187</v>
      </c>
    </row>
    <row r="154" customFormat="false" ht="14.25" hidden="false" customHeight="false" outlineLevel="0" collapsed="false">
      <c r="A154" s="0" t="str">
        <f aca="false">CONCATENATE(B154,C154)</f>
        <v>Z2025-01</v>
      </c>
      <c r="B154" s="1" t="s">
        <v>40</v>
      </c>
      <c r="C154" s="1" t="s">
        <v>11</v>
      </c>
      <c r="D154" s="1" t="s">
        <v>86</v>
      </c>
      <c r="E154" s="9" t="n">
        <v>41871</v>
      </c>
    </row>
    <row r="155" customFormat="false" ht="14.25" hidden="false" customHeight="false" outlineLevel="0" collapsed="false">
      <c r="A155" s="0" t="str">
        <f aca="false">CONCATENATE(B155,C155)</f>
        <v>Z2025-02</v>
      </c>
      <c r="B155" s="1" t="s">
        <v>40</v>
      </c>
      <c r="C155" s="1" t="s">
        <v>12</v>
      </c>
      <c r="D155" s="1" t="s">
        <v>86</v>
      </c>
      <c r="E155" s="9" t="n">
        <v>11067</v>
      </c>
    </row>
    <row r="156" customFormat="false" ht="14.25" hidden="false" customHeight="false" outlineLevel="0" collapsed="false">
      <c r="A156" s="0" t="str">
        <f aca="false">CONCATENATE(B156,C156)</f>
        <v>Z2025-03</v>
      </c>
      <c r="B156" s="1" t="s">
        <v>40</v>
      </c>
      <c r="C156" s="1" t="s">
        <v>13</v>
      </c>
      <c r="D156" s="1" t="s">
        <v>86</v>
      </c>
      <c r="E156" s="9" t="n">
        <v>6830</v>
      </c>
    </row>
    <row r="157" customFormat="false" ht="14.25" hidden="false" customHeight="false" outlineLevel="0" collapsed="false">
      <c r="A157" s="0" t="str">
        <f aca="false">CONCATENATE(B157,C157)</f>
        <v>Z2025-04</v>
      </c>
      <c r="B157" s="1" t="s">
        <v>40</v>
      </c>
      <c r="C157" s="1" t="s">
        <v>14</v>
      </c>
      <c r="D157" s="1" t="s">
        <v>86</v>
      </c>
      <c r="E157" s="9" t="n">
        <v>40235</v>
      </c>
    </row>
    <row r="158" customFormat="false" ht="14.25" hidden="false" customHeight="false" outlineLevel="0" collapsed="false">
      <c r="A158" s="0" t="str">
        <f aca="false">CONCATENATE(B158,C158)</f>
        <v>Z2025-05</v>
      </c>
      <c r="B158" s="1" t="s">
        <v>40</v>
      </c>
      <c r="C158" s="1" t="s">
        <v>15</v>
      </c>
      <c r="D158" s="1" t="s">
        <v>86</v>
      </c>
      <c r="E158" s="9" t="n">
        <v>35425</v>
      </c>
    </row>
    <row r="159" customFormat="false" ht="14.25" hidden="false" customHeight="false" outlineLevel="0" collapsed="false">
      <c r="A159" s="0" t="str">
        <f aca="false">CONCATENATE(B159,C159)</f>
        <v>AA2024-12</v>
      </c>
      <c r="B159" s="1" t="s">
        <v>41</v>
      </c>
      <c r="C159" s="1" t="s">
        <v>10</v>
      </c>
      <c r="D159" s="1" t="s">
        <v>86</v>
      </c>
      <c r="E159" s="9" t="n">
        <v>28969</v>
      </c>
    </row>
    <row r="160" customFormat="false" ht="14.25" hidden="false" customHeight="false" outlineLevel="0" collapsed="false">
      <c r="A160" s="0" t="str">
        <f aca="false">CONCATENATE(B160,C160)</f>
        <v>AA2025-01</v>
      </c>
      <c r="B160" s="1" t="s">
        <v>41</v>
      </c>
      <c r="C160" s="1" t="s">
        <v>11</v>
      </c>
      <c r="D160" s="1" t="s">
        <v>86</v>
      </c>
      <c r="E160" s="9" t="n">
        <v>2386</v>
      </c>
    </row>
    <row r="161" customFormat="false" ht="14.25" hidden="false" customHeight="false" outlineLevel="0" collapsed="false">
      <c r="A161" s="0" t="str">
        <f aca="false">CONCATENATE(B161,C161)</f>
        <v>AA2025-02</v>
      </c>
      <c r="B161" s="1" t="s">
        <v>41</v>
      </c>
      <c r="C161" s="1" t="s">
        <v>12</v>
      </c>
      <c r="D161" s="1" t="s">
        <v>85</v>
      </c>
      <c r="E161" s="9" t="n">
        <v>40838</v>
      </c>
    </row>
    <row r="162" customFormat="false" ht="14.25" hidden="false" customHeight="false" outlineLevel="0" collapsed="false">
      <c r="A162" s="0" t="str">
        <f aca="false">CONCATENATE(B162,C162)</f>
        <v>AA2025-03</v>
      </c>
      <c r="B162" s="1" t="s">
        <v>41</v>
      </c>
      <c r="C162" s="1" t="s">
        <v>13</v>
      </c>
      <c r="D162" s="1" t="s">
        <v>86</v>
      </c>
      <c r="E162" s="9" t="n">
        <v>8978</v>
      </c>
    </row>
    <row r="163" customFormat="false" ht="14.25" hidden="false" customHeight="false" outlineLevel="0" collapsed="false">
      <c r="A163" s="0" t="str">
        <f aca="false">CONCATENATE(B163,C163)</f>
        <v>AA2025-04</v>
      </c>
      <c r="B163" s="1" t="s">
        <v>41</v>
      </c>
      <c r="C163" s="1" t="s">
        <v>14</v>
      </c>
      <c r="D163" s="1" t="s">
        <v>86</v>
      </c>
      <c r="E163" s="9" t="n">
        <v>27839</v>
      </c>
    </row>
    <row r="164" customFormat="false" ht="14.25" hidden="false" customHeight="false" outlineLevel="0" collapsed="false">
      <c r="A164" s="0" t="str">
        <f aca="false">CONCATENATE(B164,C164)</f>
        <v>AA2025-05</v>
      </c>
      <c r="B164" s="1" t="s">
        <v>41</v>
      </c>
      <c r="C164" s="1" t="s">
        <v>15</v>
      </c>
      <c r="D164" s="1" t="s">
        <v>86</v>
      </c>
      <c r="E164" s="9" t="n">
        <v>39248</v>
      </c>
    </row>
    <row r="165" customFormat="false" ht="14.25" hidden="false" customHeight="false" outlineLevel="0" collapsed="false">
      <c r="A165" s="0" t="str">
        <f aca="false">CONCATENATE(B165,C165)</f>
        <v>AB2024-12</v>
      </c>
      <c r="B165" s="1" t="s">
        <v>42</v>
      </c>
      <c r="C165" s="1" t="s">
        <v>10</v>
      </c>
      <c r="D165" s="1" t="s">
        <v>85</v>
      </c>
      <c r="E165" s="9" t="n">
        <v>23771</v>
      </c>
    </row>
    <row r="166" customFormat="false" ht="14.25" hidden="false" customHeight="false" outlineLevel="0" collapsed="false">
      <c r="A166" s="0" t="str">
        <f aca="false">CONCATENATE(B166,C166)</f>
        <v>AB2025-01</v>
      </c>
      <c r="B166" s="1" t="s">
        <v>42</v>
      </c>
      <c r="C166" s="1" t="s">
        <v>11</v>
      </c>
      <c r="D166" s="1" t="s">
        <v>85</v>
      </c>
      <c r="E166" s="9" t="n">
        <v>34600</v>
      </c>
    </row>
    <row r="167" customFormat="false" ht="14.25" hidden="false" customHeight="false" outlineLevel="0" collapsed="false">
      <c r="A167" s="0" t="str">
        <f aca="false">CONCATENATE(B167,C167)</f>
        <v>AB2025-02</v>
      </c>
      <c r="B167" s="1" t="s">
        <v>42</v>
      </c>
      <c r="C167" s="1" t="s">
        <v>12</v>
      </c>
      <c r="D167" s="1" t="s">
        <v>86</v>
      </c>
      <c r="E167" s="9" t="n">
        <v>22016</v>
      </c>
    </row>
    <row r="168" customFormat="false" ht="14.25" hidden="false" customHeight="false" outlineLevel="0" collapsed="false">
      <c r="A168" s="0" t="str">
        <f aca="false">CONCATENATE(B168,C168)</f>
        <v>AB2025-03</v>
      </c>
      <c r="B168" s="1" t="s">
        <v>42</v>
      </c>
      <c r="C168" s="1" t="s">
        <v>13</v>
      </c>
      <c r="D168" s="1" t="s">
        <v>86</v>
      </c>
      <c r="E168" s="9" t="n">
        <v>8422</v>
      </c>
    </row>
    <row r="169" customFormat="false" ht="14.25" hidden="false" customHeight="false" outlineLevel="0" collapsed="false">
      <c r="A169" s="0" t="str">
        <f aca="false">CONCATENATE(B169,C169)</f>
        <v>AB2025-04</v>
      </c>
      <c r="B169" s="1" t="s">
        <v>42</v>
      </c>
      <c r="C169" s="1" t="s">
        <v>14</v>
      </c>
      <c r="D169" s="1" t="s">
        <v>86</v>
      </c>
      <c r="E169" s="9" t="n">
        <v>30851</v>
      </c>
    </row>
    <row r="170" customFormat="false" ht="14.25" hidden="false" customHeight="false" outlineLevel="0" collapsed="false">
      <c r="A170" s="0" t="str">
        <f aca="false">CONCATENATE(B170,C170)</f>
        <v>AB2025-05</v>
      </c>
      <c r="B170" s="1" t="s">
        <v>42</v>
      </c>
      <c r="C170" s="1" t="s">
        <v>15</v>
      </c>
      <c r="D170" s="1" t="s">
        <v>85</v>
      </c>
      <c r="E170" s="9" t="n">
        <v>10593</v>
      </c>
    </row>
    <row r="171" customFormat="false" ht="14.25" hidden="false" customHeight="false" outlineLevel="0" collapsed="false">
      <c r="A171" s="0" t="str">
        <f aca="false">CONCATENATE(B171,C171)</f>
        <v>AC2024-12</v>
      </c>
      <c r="B171" s="1" t="s">
        <v>43</v>
      </c>
      <c r="C171" s="1" t="s">
        <v>10</v>
      </c>
      <c r="D171" s="1" t="s">
        <v>86</v>
      </c>
      <c r="E171" s="9" t="n">
        <v>39501</v>
      </c>
    </row>
    <row r="172" customFormat="false" ht="14.25" hidden="false" customHeight="false" outlineLevel="0" collapsed="false">
      <c r="A172" s="0" t="str">
        <f aca="false">CONCATENATE(B172,C172)</f>
        <v>AC2025-01</v>
      </c>
      <c r="B172" s="1" t="s">
        <v>43</v>
      </c>
      <c r="C172" s="1" t="s">
        <v>11</v>
      </c>
      <c r="D172" s="1" t="s">
        <v>86</v>
      </c>
      <c r="E172" s="9" t="n">
        <v>34417</v>
      </c>
    </row>
    <row r="173" customFormat="false" ht="14.25" hidden="false" customHeight="false" outlineLevel="0" collapsed="false">
      <c r="A173" s="0" t="str">
        <f aca="false">CONCATENATE(B173,C173)</f>
        <v>AC2025-02</v>
      </c>
      <c r="B173" s="1" t="s">
        <v>43</v>
      </c>
      <c r="C173" s="1" t="s">
        <v>12</v>
      </c>
      <c r="D173" s="1" t="s">
        <v>86</v>
      </c>
      <c r="E173" s="9" t="n">
        <v>21078</v>
      </c>
    </row>
    <row r="174" customFormat="false" ht="14.25" hidden="false" customHeight="false" outlineLevel="0" collapsed="false">
      <c r="A174" s="0" t="str">
        <f aca="false">CONCATENATE(B174,C174)</f>
        <v>AC2025-03</v>
      </c>
      <c r="B174" s="1" t="s">
        <v>43</v>
      </c>
      <c r="C174" s="1" t="s">
        <v>13</v>
      </c>
      <c r="D174" s="1" t="s">
        <v>86</v>
      </c>
      <c r="E174" s="9" t="n">
        <v>33430</v>
      </c>
    </row>
    <row r="175" customFormat="false" ht="14.25" hidden="false" customHeight="false" outlineLevel="0" collapsed="false">
      <c r="A175" s="0" t="str">
        <f aca="false">CONCATENATE(B175,C175)</f>
        <v>AC2025-04</v>
      </c>
      <c r="B175" s="1" t="s">
        <v>43</v>
      </c>
      <c r="C175" s="1" t="s">
        <v>14</v>
      </c>
      <c r="D175" s="1" t="s">
        <v>86</v>
      </c>
      <c r="E175" s="9" t="n">
        <v>43196</v>
      </c>
    </row>
    <row r="176" customFormat="false" ht="14.25" hidden="false" customHeight="false" outlineLevel="0" collapsed="false">
      <c r="A176" s="0" t="str">
        <f aca="false">CONCATENATE(B176,C176)</f>
        <v>AC2025-05</v>
      </c>
      <c r="B176" s="1" t="s">
        <v>43</v>
      </c>
      <c r="C176" s="1" t="s">
        <v>15</v>
      </c>
      <c r="D176" s="1" t="s">
        <v>86</v>
      </c>
      <c r="E176" s="9" t="n">
        <v>40074</v>
      </c>
    </row>
    <row r="177" customFormat="false" ht="14.25" hidden="false" customHeight="false" outlineLevel="0" collapsed="false">
      <c r="A177" s="0" t="str">
        <f aca="false">CONCATENATE(B177,C177)</f>
        <v>AD2024-12</v>
      </c>
      <c r="B177" s="1" t="s">
        <v>44</v>
      </c>
      <c r="C177" s="1" t="s">
        <v>10</v>
      </c>
      <c r="D177" s="1" t="s">
        <v>86</v>
      </c>
      <c r="E177" s="9" t="n">
        <v>15094</v>
      </c>
    </row>
    <row r="178" customFormat="false" ht="14.25" hidden="false" customHeight="false" outlineLevel="0" collapsed="false">
      <c r="A178" s="0" t="str">
        <f aca="false">CONCATENATE(B178,C178)</f>
        <v>AD2025-01</v>
      </c>
      <c r="B178" s="1" t="s">
        <v>44</v>
      </c>
      <c r="C178" s="1" t="s">
        <v>11</v>
      </c>
      <c r="D178" s="1" t="s">
        <v>86</v>
      </c>
      <c r="E178" s="9" t="n">
        <v>18751</v>
      </c>
    </row>
    <row r="179" customFormat="false" ht="14.25" hidden="false" customHeight="false" outlineLevel="0" collapsed="false">
      <c r="A179" s="0" t="str">
        <f aca="false">CONCATENATE(B179,C179)</f>
        <v>AD2025-02</v>
      </c>
      <c r="B179" s="1" t="s">
        <v>44</v>
      </c>
      <c r="C179" s="1" t="s">
        <v>12</v>
      </c>
      <c r="D179" s="1" t="s">
        <v>86</v>
      </c>
      <c r="E179" s="9" t="n">
        <v>21586</v>
      </c>
    </row>
    <row r="180" customFormat="false" ht="14.25" hidden="false" customHeight="false" outlineLevel="0" collapsed="false">
      <c r="A180" s="0" t="str">
        <f aca="false">CONCATENATE(B180,C180)</f>
        <v>AD2025-03</v>
      </c>
      <c r="B180" s="1" t="s">
        <v>44</v>
      </c>
      <c r="C180" s="1" t="s">
        <v>13</v>
      </c>
      <c r="D180" s="1" t="s">
        <v>86</v>
      </c>
      <c r="E180" s="9" t="n">
        <v>48315</v>
      </c>
    </row>
    <row r="181" customFormat="false" ht="14.25" hidden="false" customHeight="false" outlineLevel="0" collapsed="false">
      <c r="A181" s="0" t="str">
        <f aca="false">CONCATENATE(B181,C181)</f>
        <v>AD2025-04</v>
      </c>
      <c r="B181" s="1" t="s">
        <v>44</v>
      </c>
      <c r="C181" s="1" t="s">
        <v>14</v>
      </c>
      <c r="D181" s="1" t="s">
        <v>86</v>
      </c>
      <c r="E181" s="9" t="n">
        <v>7391</v>
      </c>
    </row>
    <row r="182" customFormat="false" ht="14.25" hidden="false" customHeight="false" outlineLevel="0" collapsed="false">
      <c r="A182" s="0" t="str">
        <f aca="false">CONCATENATE(B182,C182)</f>
        <v>AD2025-05</v>
      </c>
      <c r="B182" s="1" t="s">
        <v>44</v>
      </c>
      <c r="C182" s="1" t="s">
        <v>15</v>
      </c>
      <c r="D182" s="1" t="s">
        <v>86</v>
      </c>
      <c r="E182" s="9" t="n">
        <v>40885</v>
      </c>
    </row>
    <row r="183" customFormat="false" ht="14.25" hidden="false" customHeight="false" outlineLevel="0" collapsed="false">
      <c r="A183" s="0" t="str">
        <f aca="false">CONCATENATE(B183,C183)</f>
        <v>AE2024-12</v>
      </c>
      <c r="B183" s="1" t="s">
        <v>45</v>
      </c>
      <c r="C183" s="1" t="s">
        <v>10</v>
      </c>
      <c r="D183" s="1" t="s">
        <v>86</v>
      </c>
      <c r="E183" s="9" t="n">
        <v>31309</v>
      </c>
    </row>
    <row r="184" customFormat="false" ht="14.25" hidden="false" customHeight="false" outlineLevel="0" collapsed="false">
      <c r="A184" s="0" t="str">
        <f aca="false">CONCATENATE(B184,C184)</f>
        <v>AE2025-01</v>
      </c>
      <c r="B184" s="1" t="s">
        <v>45</v>
      </c>
      <c r="C184" s="1" t="s">
        <v>11</v>
      </c>
      <c r="D184" s="1" t="s">
        <v>86</v>
      </c>
      <c r="E184" s="9" t="n">
        <v>45790</v>
      </c>
    </row>
    <row r="185" customFormat="false" ht="14.25" hidden="false" customHeight="false" outlineLevel="0" collapsed="false">
      <c r="A185" s="0" t="str">
        <f aca="false">CONCATENATE(B185,C185)</f>
        <v>AE2025-02</v>
      </c>
      <c r="B185" s="1" t="s">
        <v>45</v>
      </c>
      <c r="C185" s="1" t="s">
        <v>12</v>
      </c>
      <c r="D185" s="1" t="s">
        <v>86</v>
      </c>
      <c r="E185" s="9" t="n">
        <v>21228</v>
      </c>
    </row>
    <row r="186" customFormat="false" ht="14.25" hidden="false" customHeight="false" outlineLevel="0" collapsed="false">
      <c r="A186" s="0" t="str">
        <f aca="false">CONCATENATE(B186,C186)</f>
        <v>AE2025-03</v>
      </c>
      <c r="B186" s="1" t="s">
        <v>45</v>
      </c>
      <c r="C186" s="1" t="s">
        <v>13</v>
      </c>
      <c r="D186" s="1" t="s">
        <v>86</v>
      </c>
      <c r="E186" s="9" t="n">
        <v>26281</v>
      </c>
    </row>
    <row r="187" customFormat="false" ht="14.25" hidden="false" customHeight="false" outlineLevel="0" collapsed="false">
      <c r="A187" s="0" t="str">
        <f aca="false">CONCATENATE(B187,C187)</f>
        <v>AE2025-04</v>
      </c>
      <c r="B187" s="1" t="s">
        <v>45</v>
      </c>
      <c r="C187" s="1" t="s">
        <v>14</v>
      </c>
      <c r="D187" s="1" t="s">
        <v>86</v>
      </c>
      <c r="E187" s="9" t="n">
        <v>48670</v>
      </c>
    </row>
    <row r="188" customFormat="false" ht="14.25" hidden="false" customHeight="false" outlineLevel="0" collapsed="false">
      <c r="A188" s="0" t="str">
        <f aca="false">CONCATENATE(B188,C188)</f>
        <v>AE2025-05</v>
      </c>
      <c r="B188" s="1" t="s">
        <v>45</v>
      </c>
      <c r="C188" s="1" t="s">
        <v>15</v>
      </c>
      <c r="D188" s="1" t="s">
        <v>86</v>
      </c>
      <c r="E188" s="9" t="n">
        <v>9641</v>
      </c>
    </row>
    <row r="189" customFormat="false" ht="14.25" hidden="false" customHeight="false" outlineLevel="0" collapsed="false">
      <c r="A189" s="0" t="str">
        <f aca="false">CONCATENATE(B189,C189)</f>
        <v>AF2024-12</v>
      </c>
      <c r="B189" s="1" t="s">
        <v>46</v>
      </c>
      <c r="C189" s="1" t="s">
        <v>10</v>
      </c>
      <c r="D189" s="1" t="s">
        <v>86</v>
      </c>
      <c r="E189" s="9" t="n">
        <v>41093</v>
      </c>
    </row>
    <row r="190" customFormat="false" ht="14.25" hidden="false" customHeight="false" outlineLevel="0" collapsed="false">
      <c r="A190" s="0" t="str">
        <f aca="false">CONCATENATE(B190,C190)</f>
        <v>AF2025-01</v>
      </c>
      <c r="B190" s="1" t="s">
        <v>46</v>
      </c>
      <c r="C190" s="1" t="s">
        <v>11</v>
      </c>
      <c r="D190" s="1" t="s">
        <v>86</v>
      </c>
      <c r="E190" s="9" t="n">
        <v>33173</v>
      </c>
    </row>
    <row r="191" customFormat="false" ht="14.25" hidden="false" customHeight="false" outlineLevel="0" collapsed="false">
      <c r="A191" s="0" t="str">
        <f aca="false">CONCATENATE(B191,C191)</f>
        <v>AF2025-02</v>
      </c>
      <c r="B191" s="1" t="s">
        <v>46</v>
      </c>
      <c r="C191" s="1" t="s">
        <v>12</v>
      </c>
      <c r="D191" s="1" t="s">
        <v>85</v>
      </c>
      <c r="E191" s="9" t="n">
        <v>18640</v>
      </c>
    </row>
    <row r="192" customFormat="false" ht="14.25" hidden="false" customHeight="false" outlineLevel="0" collapsed="false">
      <c r="A192" s="0" t="str">
        <f aca="false">CONCATENATE(B192,C192)</f>
        <v>AF2025-03</v>
      </c>
      <c r="B192" s="1" t="s">
        <v>46</v>
      </c>
      <c r="C192" s="1" t="s">
        <v>13</v>
      </c>
      <c r="D192" s="1" t="s">
        <v>86</v>
      </c>
      <c r="E192" s="9" t="n">
        <v>48010</v>
      </c>
    </row>
    <row r="193" customFormat="false" ht="14.25" hidden="false" customHeight="false" outlineLevel="0" collapsed="false">
      <c r="A193" s="0" t="str">
        <f aca="false">CONCATENATE(B193,C193)</f>
        <v>AF2025-04</v>
      </c>
      <c r="B193" s="1" t="s">
        <v>46</v>
      </c>
      <c r="C193" s="1" t="s">
        <v>14</v>
      </c>
      <c r="D193" s="1" t="s">
        <v>86</v>
      </c>
      <c r="E193" s="9" t="n">
        <v>29485</v>
      </c>
    </row>
    <row r="194" customFormat="false" ht="14.25" hidden="false" customHeight="false" outlineLevel="0" collapsed="false">
      <c r="A194" s="0" t="str">
        <f aca="false">CONCATENATE(B194,C194)</f>
        <v>AF2025-05</v>
      </c>
      <c r="B194" s="1" t="s">
        <v>46</v>
      </c>
      <c r="C194" s="1" t="s">
        <v>15</v>
      </c>
      <c r="D194" s="1" t="s">
        <v>86</v>
      </c>
      <c r="E194" s="9" t="n">
        <v>34752</v>
      </c>
    </row>
    <row r="195" customFormat="false" ht="14.25" hidden="false" customHeight="false" outlineLevel="0" collapsed="false">
      <c r="A195" s="0" t="str">
        <f aca="false">CONCATENATE(B195,C195)</f>
        <v>AG2024-12</v>
      </c>
      <c r="B195" s="1" t="s">
        <v>47</v>
      </c>
      <c r="C195" s="1" t="s">
        <v>10</v>
      </c>
      <c r="D195" s="1" t="s">
        <v>86</v>
      </c>
      <c r="E195" s="9" t="n">
        <v>40656</v>
      </c>
    </row>
    <row r="196" customFormat="false" ht="14.25" hidden="false" customHeight="false" outlineLevel="0" collapsed="false">
      <c r="A196" s="0" t="str">
        <f aca="false">CONCATENATE(B196,C196)</f>
        <v>AG2025-01</v>
      </c>
      <c r="B196" s="1" t="s">
        <v>47</v>
      </c>
      <c r="C196" s="1" t="s">
        <v>11</v>
      </c>
      <c r="D196" s="1" t="s">
        <v>86</v>
      </c>
      <c r="E196" s="9" t="n">
        <v>24304</v>
      </c>
    </row>
    <row r="197" customFormat="false" ht="14.25" hidden="false" customHeight="false" outlineLevel="0" collapsed="false">
      <c r="A197" s="0" t="str">
        <f aca="false">CONCATENATE(B197,C197)</f>
        <v>AG2025-02</v>
      </c>
      <c r="B197" s="1" t="s">
        <v>47</v>
      </c>
      <c r="C197" s="1" t="s">
        <v>12</v>
      </c>
      <c r="D197" s="1" t="s">
        <v>86</v>
      </c>
      <c r="E197" s="9" t="n">
        <v>37193</v>
      </c>
    </row>
    <row r="198" customFormat="false" ht="14.25" hidden="false" customHeight="false" outlineLevel="0" collapsed="false">
      <c r="A198" s="0" t="str">
        <f aca="false">CONCATENATE(B198,C198)</f>
        <v>AG2025-03</v>
      </c>
      <c r="B198" s="1" t="s">
        <v>47</v>
      </c>
      <c r="C198" s="1" t="s">
        <v>13</v>
      </c>
      <c r="D198" s="1" t="s">
        <v>86</v>
      </c>
      <c r="E198" s="9" t="n">
        <v>21609</v>
      </c>
    </row>
    <row r="199" customFormat="false" ht="14.25" hidden="false" customHeight="false" outlineLevel="0" collapsed="false">
      <c r="A199" s="0" t="str">
        <f aca="false">CONCATENATE(B199,C199)</f>
        <v>AG2025-04</v>
      </c>
      <c r="B199" s="1" t="s">
        <v>47</v>
      </c>
      <c r="C199" s="1" t="s">
        <v>14</v>
      </c>
      <c r="D199" s="1" t="s">
        <v>86</v>
      </c>
      <c r="E199" s="9" t="n">
        <v>43085</v>
      </c>
    </row>
    <row r="200" customFormat="false" ht="14.25" hidden="false" customHeight="false" outlineLevel="0" collapsed="false">
      <c r="A200" s="0" t="str">
        <f aca="false">CONCATENATE(B200,C200)</f>
        <v>AG2025-05</v>
      </c>
      <c r="B200" s="1" t="s">
        <v>47</v>
      </c>
      <c r="C200" s="1" t="s">
        <v>15</v>
      </c>
      <c r="D200" s="1" t="s">
        <v>86</v>
      </c>
      <c r="E200" s="9" t="n">
        <v>11558</v>
      </c>
    </row>
    <row r="201" customFormat="false" ht="14.25" hidden="false" customHeight="false" outlineLevel="0" collapsed="false">
      <c r="A201" s="0" t="str">
        <f aca="false">CONCATENATE(B201,C201)</f>
        <v>AH2024-12</v>
      </c>
      <c r="B201" s="1" t="s">
        <v>48</v>
      </c>
      <c r="C201" s="1" t="s">
        <v>10</v>
      </c>
      <c r="D201" s="1" t="s">
        <v>86</v>
      </c>
      <c r="E201" s="9" t="n">
        <v>16766</v>
      </c>
    </row>
    <row r="202" customFormat="false" ht="14.25" hidden="false" customHeight="false" outlineLevel="0" collapsed="false">
      <c r="A202" s="0" t="str">
        <f aca="false">CONCATENATE(B202,C202)</f>
        <v>AH2025-01</v>
      </c>
      <c r="B202" s="1" t="s">
        <v>48</v>
      </c>
      <c r="C202" s="1" t="s">
        <v>11</v>
      </c>
      <c r="D202" s="1" t="s">
        <v>86</v>
      </c>
      <c r="E202" s="9" t="n">
        <v>23489</v>
      </c>
    </row>
    <row r="203" customFormat="false" ht="14.25" hidden="false" customHeight="false" outlineLevel="0" collapsed="false">
      <c r="A203" s="0" t="str">
        <f aca="false">CONCATENATE(B203,C203)</f>
        <v>AH2025-02</v>
      </c>
      <c r="B203" s="1" t="s">
        <v>48</v>
      </c>
      <c r="C203" s="1" t="s">
        <v>12</v>
      </c>
      <c r="D203" s="1" t="s">
        <v>85</v>
      </c>
      <c r="E203" s="9" t="n">
        <v>39691</v>
      </c>
    </row>
    <row r="204" customFormat="false" ht="14.25" hidden="false" customHeight="false" outlineLevel="0" collapsed="false">
      <c r="A204" s="0" t="str">
        <f aca="false">CONCATENATE(B204,C204)</f>
        <v>AH2025-03</v>
      </c>
      <c r="B204" s="1" t="s">
        <v>48</v>
      </c>
      <c r="C204" s="1" t="s">
        <v>13</v>
      </c>
      <c r="D204" s="1" t="s">
        <v>86</v>
      </c>
      <c r="E204" s="9" t="n">
        <v>31187</v>
      </c>
    </row>
    <row r="205" customFormat="false" ht="14.25" hidden="false" customHeight="false" outlineLevel="0" collapsed="false">
      <c r="A205" s="0" t="str">
        <f aca="false">CONCATENATE(B205,C205)</f>
        <v>AH2025-04</v>
      </c>
      <c r="B205" s="1" t="s">
        <v>48</v>
      </c>
      <c r="C205" s="1" t="s">
        <v>14</v>
      </c>
      <c r="D205" s="1" t="s">
        <v>86</v>
      </c>
      <c r="E205" s="9" t="n">
        <v>48779</v>
      </c>
    </row>
    <row r="206" customFormat="false" ht="14.25" hidden="false" customHeight="false" outlineLevel="0" collapsed="false">
      <c r="A206" s="0" t="str">
        <f aca="false">CONCATENATE(B206,C206)</f>
        <v>AH2025-05</v>
      </c>
      <c r="B206" s="1" t="s">
        <v>48</v>
      </c>
      <c r="C206" s="1" t="s">
        <v>15</v>
      </c>
      <c r="D206" s="1" t="s">
        <v>86</v>
      </c>
      <c r="E206" s="9" t="n">
        <v>23356</v>
      </c>
    </row>
    <row r="207" customFormat="false" ht="14.25" hidden="false" customHeight="false" outlineLevel="0" collapsed="false">
      <c r="A207" s="0" t="str">
        <f aca="false">CONCATENATE(B207,C207)</f>
        <v>AI2024-12</v>
      </c>
      <c r="B207" s="1" t="s">
        <v>49</v>
      </c>
      <c r="C207" s="1" t="s">
        <v>10</v>
      </c>
      <c r="D207" s="1" t="s">
        <v>86</v>
      </c>
      <c r="E207" s="9" t="n">
        <v>44167</v>
      </c>
    </row>
    <row r="208" customFormat="false" ht="14.25" hidden="false" customHeight="false" outlineLevel="0" collapsed="false">
      <c r="A208" s="0" t="str">
        <f aca="false">CONCATENATE(B208,C208)</f>
        <v>AI2025-01</v>
      </c>
      <c r="B208" s="1" t="s">
        <v>49</v>
      </c>
      <c r="C208" s="1" t="s">
        <v>11</v>
      </c>
      <c r="D208" s="1" t="s">
        <v>86</v>
      </c>
      <c r="E208" s="9" t="n">
        <v>15485</v>
      </c>
    </row>
    <row r="209" customFormat="false" ht="14.25" hidden="false" customHeight="false" outlineLevel="0" collapsed="false">
      <c r="A209" s="0" t="str">
        <f aca="false">CONCATENATE(B209,C209)</f>
        <v>AI2025-02</v>
      </c>
      <c r="B209" s="1" t="s">
        <v>49</v>
      </c>
      <c r="C209" s="1" t="s">
        <v>12</v>
      </c>
      <c r="D209" s="1" t="s">
        <v>85</v>
      </c>
      <c r="E209" s="9" t="n">
        <v>38762</v>
      </c>
    </row>
    <row r="210" customFormat="false" ht="14.25" hidden="false" customHeight="false" outlineLevel="0" collapsed="false">
      <c r="A210" s="0" t="str">
        <f aca="false">CONCATENATE(B210,C210)</f>
        <v>AI2025-03</v>
      </c>
      <c r="B210" s="1" t="s">
        <v>49</v>
      </c>
      <c r="C210" s="1" t="s">
        <v>13</v>
      </c>
      <c r="D210" s="1" t="s">
        <v>86</v>
      </c>
      <c r="E210" s="9" t="n">
        <v>16173</v>
      </c>
    </row>
    <row r="211" customFormat="false" ht="14.25" hidden="false" customHeight="false" outlineLevel="0" collapsed="false">
      <c r="A211" s="0" t="str">
        <f aca="false">CONCATENATE(B211,C211)</f>
        <v>AI2025-04</v>
      </c>
      <c r="B211" s="1" t="s">
        <v>49</v>
      </c>
      <c r="C211" s="1" t="s">
        <v>14</v>
      </c>
      <c r="D211" s="1" t="s">
        <v>86</v>
      </c>
      <c r="E211" s="9" t="n">
        <v>6759</v>
      </c>
    </row>
    <row r="212" customFormat="false" ht="14.25" hidden="false" customHeight="false" outlineLevel="0" collapsed="false">
      <c r="A212" s="0" t="str">
        <f aca="false">CONCATENATE(B212,C212)</f>
        <v>AI2025-05</v>
      </c>
      <c r="B212" s="1" t="s">
        <v>49</v>
      </c>
      <c r="C212" s="1" t="s">
        <v>15</v>
      </c>
      <c r="D212" s="1" t="s">
        <v>86</v>
      </c>
      <c r="E212" s="9" t="n">
        <v>28458</v>
      </c>
    </row>
    <row r="213" customFormat="false" ht="14.25" hidden="false" customHeight="false" outlineLevel="0" collapsed="false">
      <c r="A213" s="0" t="str">
        <f aca="false">CONCATENATE(B213,C213)</f>
        <v>AJ2024-12</v>
      </c>
      <c r="B213" s="1" t="s">
        <v>50</v>
      </c>
      <c r="C213" s="1" t="s">
        <v>10</v>
      </c>
      <c r="D213" s="1" t="s">
        <v>86</v>
      </c>
      <c r="E213" s="9" t="n">
        <v>12535</v>
      </c>
    </row>
    <row r="214" customFormat="false" ht="14.25" hidden="false" customHeight="false" outlineLevel="0" collapsed="false">
      <c r="A214" s="0" t="str">
        <f aca="false">CONCATENATE(B214,C214)</f>
        <v>AJ2025-01</v>
      </c>
      <c r="B214" s="1" t="s">
        <v>50</v>
      </c>
      <c r="C214" s="1" t="s">
        <v>11</v>
      </c>
      <c r="D214" s="1" t="s">
        <v>86</v>
      </c>
      <c r="E214" s="9" t="n">
        <v>27318</v>
      </c>
    </row>
    <row r="215" customFormat="false" ht="14.25" hidden="false" customHeight="false" outlineLevel="0" collapsed="false">
      <c r="A215" s="0" t="str">
        <f aca="false">CONCATENATE(B215,C215)</f>
        <v>AJ2025-02</v>
      </c>
      <c r="B215" s="1" t="s">
        <v>50</v>
      </c>
      <c r="C215" s="1" t="s">
        <v>12</v>
      </c>
      <c r="D215" s="1" t="s">
        <v>85</v>
      </c>
      <c r="E215" s="9" t="n">
        <v>40616</v>
      </c>
    </row>
    <row r="216" customFormat="false" ht="14.25" hidden="false" customHeight="false" outlineLevel="0" collapsed="false">
      <c r="A216" s="0" t="str">
        <f aca="false">CONCATENATE(B216,C216)</f>
        <v>AJ2025-03</v>
      </c>
      <c r="B216" s="1" t="s">
        <v>50</v>
      </c>
      <c r="C216" s="1" t="s">
        <v>13</v>
      </c>
      <c r="D216" s="1" t="s">
        <v>86</v>
      </c>
      <c r="E216" s="9" t="n">
        <v>11782</v>
      </c>
    </row>
    <row r="217" customFormat="false" ht="14.25" hidden="false" customHeight="false" outlineLevel="0" collapsed="false">
      <c r="A217" s="0" t="str">
        <f aca="false">CONCATENATE(B217,C217)</f>
        <v>AJ2025-04</v>
      </c>
      <c r="B217" s="1" t="s">
        <v>50</v>
      </c>
      <c r="C217" s="1" t="s">
        <v>14</v>
      </c>
      <c r="D217" s="1" t="s">
        <v>86</v>
      </c>
      <c r="E217" s="9" t="n">
        <v>15728</v>
      </c>
    </row>
    <row r="218" customFormat="false" ht="14.25" hidden="false" customHeight="false" outlineLevel="0" collapsed="false">
      <c r="A218" s="0" t="str">
        <f aca="false">CONCATENATE(B218,C218)</f>
        <v>AJ2025-05</v>
      </c>
      <c r="B218" s="1" t="s">
        <v>50</v>
      </c>
      <c r="C218" s="1" t="s">
        <v>15</v>
      </c>
      <c r="D218" s="1" t="s">
        <v>86</v>
      </c>
      <c r="E218" s="9" t="n">
        <v>43830</v>
      </c>
    </row>
    <row r="219" customFormat="false" ht="14.25" hidden="false" customHeight="false" outlineLevel="0" collapsed="false">
      <c r="A219" s="0" t="str">
        <f aca="false">CONCATENATE(B219,C219)</f>
        <v>AK2024-12</v>
      </c>
      <c r="B219" s="1" t="s">
        <v>51</v>
      </c>
      <c r="C219" s="1" t="s">
        <v>10</v>
      </c>
      <c r="D219" s="1" t="s">
        <v>86</v>
      </c>
      <c r="E219" s="9" t="n">
        <v>34278</v>
      </c>
    </row>
    <row r="220" customFormat="false" ht="14.25" hidden="false" customHeight="false" outlineLevel="0" collapsed="false">
      <c r="A220" s="0" t="str">
        <f aca="false">CONCATENATE(B220,C220)</f>
        <v>AK2025-01</v>
      </c>
      <c r="B220" s="1" t="s">
        <v>51</v>
      </c>
      <c r="C220" s="1" t="s">
        <v>11</v>
      </c>
      <c r="D220" s="1" t="s">
        <v>86</v>
      </c>
      <c r="E220" s="9" t="n">
        <v>9274</v>
      </c>
    </row>
    <row r="221" customFormat="false" ht="14.25" hidden="false" customHeight="false" outlineLevel="0" collapsed="false">
      <c r="A221" s="0" t="str">
        <f aca="false">CONCATENATE(B221,C221)</f>
        <v>AK2025-02</v>
      </c>
      <c r="B221" s="1" t="s">
        <v>51</v>
      </c>
      <c r="C221" s="1" t="s">
        <v>12</v>
      </c>
      <c r="D221" s="1" t="s">
        <v>86</v>
      </c>
      <c r="E221" s="9" t="n">
        <v>25990</v>
      </c>
    </row>
    <row r="222" customFormat="false" ht="14.25" hidden="false" customHeight="false" outlineLevel="0" collapsed="false">
      <c r="A222" s="0" t="str">
        <f aca="false">CONCATENATE(B222,C222)</f>
        <v>AK2025-03</v>
      </c>
      <c r="B222" s="1" t="s">
        <v>51</v>
      </c>
      <c r="C222" s="1" t="s">
        <v>13</v>
      </c>
      <c r="D222" s="1" t="s">
        <v>85</v>
      </c>
      <c r="E222" s="9" t="n">
        <v>22422</v>
      </c>
    </row>
    <row r="223" customFormat="false" ht="14.25" hidden="false" customHeight="false" outlineLevel="0" collapsed="false">
      <c r="A223" s="0" t="str">
        <f aca="false">CONCATENATE(B223,C223)</f>
        <v>AK2025-04</v>
      </c>
      <c r="B223" s="1" t="s">
        <v>51</v>
      </c>
      <c r="C223" s="1" t="s">
        <v>14</v>
      </c>
      <c r="D223" s="1" t="s">
        <v>85</v>
      </c>
      <c r="E223" s="9" t="n">
        <v>49124</v>
      </c>
    </row>
    <row r="224" customFormat="false" ht="14.25" hidden="false" customHeight="false" outlineLevel="0" collapsed="false">
      <c r="A224" s="0" t="str">
        <f aca="false">CONCATENATE(B224,C224)</f>
        <v>AK2025-05</v>
      </c>
      <c r="B224" s="1" t="s">
        <v>51</v>
      </c>
      <c r="C224" s="1" t="s">
        <v>15</v>
      </c>
      <c r="D224" s="1" t="s">
        <v>86</v>
      </c>
      <c r="E224" s="9" t="n">
        <v>34747</v>
      </c>
    </row>
    <row r="225" customFormat="false" ht="14.25" hidden="false" customHeight="false" outlineLevel="0" collapsed="false">
      <c r="A225" s="0" t="str">
        <f aca="false">CONCATENATE(B225,C225)</f>
        <v>AL2024-12</v>
      </c>
      <c r="B225" s="1" t="s">
        <v>52</v>
      </c>
      <c r="C225" s="1" t="s">
        <v>10</v>
      </c>
      <c r="D225" s="1" t="s">
        <v>86</v>
      </c>
      <c r="E225" s="9" t="n">
        <v>37824</v>
      </c>
    </row>
    <row r="226" customFormat="false" ht="14.25" hidden="false" customHeight="false" outlineLevel="0" collapsed="false">
      <c r="A226" s="0" t="str">
        <f aca="false">CONCATENATE(B226,C226)</f>
        <v>AL2025-01</v>
      </c>
      <c r="B226" s="1" t="s">
        <v>52</v>
      </c>
      <c r="C226" s="1" t="s">
        <v>11</v>
      </c>
      <c r="D226" s="1" t="s">
        <v>86</v>
      </c>
      <c r="E226" s="9" t="n">
        <v>33725</v>
      </c>
    </row>
    <row r="227" customFormat="false" ht="14.25" hidden="false" customHeight="false" outlineLevel="0" collapsed="false">
      <c r="A227" s="0" t="str">
        <f aca="false">CONCATENATE(B227,C227)</f>
        <v>AL2025-02</v>
      </c>
      <c r="B227" s="1" t="s">
        <v>52</v>
      </c>
      <c r="C227" s="1" t="s">
        <v>12</v>
      </c>
      <c r="D227" s="1" t="s">
        <v>86</v>
      </c>
      <c r="E227" s="9" t="n">
        <v>47708</v>
      </c>
    </row>
    <row r="228" customFormat="false" ht="14.25" hidden="false" customHeight="false" outlineLevel="0" collapsed="false">
      <c r="A228" s="0" t="str">
        <f aca="false">CONCATENATE(B228,C228)</f>
        <v>AL2025-03</v>
      </c>
      <c r="B228" s="1" t="s">
        <v>52</v>
      </c>
      <c r="C228" s="1" t="s">
        <v>13</v>
      </c>
      <c r="D228" s="1" t="s">
        <v>86</v>
      </c>
      <c r="E228" s="9" t="n">
        <v>41937</v>
      </c>
    </row>
    <row r="229" customFormat="false" ht="14.25" hidden="false" customHeight="false" outlineLevel="0" collapsed="false">
      <c r="A229" s="0" t="str">
        <f aca="false">CONCATENATE(B229,C229)</f>
        <v>AL2025-04</v>
      </c>
      <c r="B229" s="1" t="s">
        <v>52</v>
      </c>
      <c r="C229" s="1" t="s">
        <v>14</v>
      </c>
      <c r="D229" s="1" t="s">
        <v>86</v>
      </c>
      <c r="E229" s="9" t="n">
        <v>4864</v>
      </c>
    </row>
    <row r="230" customFormat="false" ht="14.25" hidden="false" customHeight="false" outlineLevel="0" collapsed="false">
      <c r="A230" s="0" t="str">
        <f aca="false">CONCATENATE(B230,C230)</f>
        <v>AL2025-05</v>
      </c>
      <c r="B230" s="1" t="s">
        <v>52</v>
      </c>
      <c r="C230" s="1" t="s">
        <v>15</v>
      </c>
      <c r="D230" s="1" t="s">
        <v>86</v>
      </c>
      <c r="E230" s="9" t="n">
        <v>9238</v>
      </c>
    </row>
    <row r="231" customFormat="false" ht="14.25" hidden="false" customHeight="false" outlineLevel="0" collapsed="false">
      <c r="A231" s="0" t="str">
        <f aca="false">CONCATENATE(B231,C231)</f>
        <v>AM2024-12</v>
      </c>
      <c r="B231" s="1" t="s">
        <v>53</v>
      </c>
      <c r="C231" s="1" t="s">
        <v>10</v>
      </c>
      <c r="D231" s="1" t="s">
        <v>86</v>
      </c>
      <c r="E231" s="9" t="n">
        <v>44774</v>
      </c>
    </row>
    <row r="232" customFormat="false" ht="14.25" hidden="false" customHeight="false" outlineLevel="0" collapsed="false">
      <c r="A232" s="0" t="str">
        <f aca="false">CONCATENATE(B232,C232)</f>
        <v>AM2025-01</v>
      </c>
      <c r="B232" s="1" t="s">
        <v>53</v>
      </c>
      <c r="C232" s="1" t="s">
        <v>11</v>
      </c>
      <c r="D232" s="1" t="s">
        <v>86</v>
      </c>
      <c r="E232" s="9" t="n">
        <v>46815</v>
      </c>
    </row>
    <row r="233" customFormat="false" ht="14.25" hidden="false" customHeight="false" outlineLevel="0" collapsed="false">
      <c r="A233" s="0" t="str">
        <f aca="false">CONCATENATE(B233,C233)</f>
        <v>AM2025-02</v>
      </c>
      <c r="B233" s="1" t="s">
        <v>53</v>
      </c>
      <c r="C233" s="1" t="s">
        <v>12</v>
      </c>
      <c r="D233" s="1" t="s">
        <v>86</v>
      </c>
      <c r="E233" s="9" t="n">
        <v>10474</v>
      </c>
    </row>
    <row r="234" customFormat="false" ht="14.25" hidden="false" customHeight="false" outlineLevel="0" collapsed="false">
      <c r="A234" s="0" t="str">
        <f aca="false">CONCATENATE(B234,C234)</f>
        <v>AM2025-03</v>
      </c>
      <c r="B234" s="1" t="s">
        <v>53</v>
      </c>
      <c r="C234" s="1" t="s">
        <v>13</v>
      </c>
      <c r="D234" s="1" t="s">
        <v>86</v>
      </c>
      <c r="E234" s="9" t="n">
        <v>11251</v>
      </c>
    </row>
    <row r="235" customFormat="false" ht="14.25" hidden="false" customHeight="false" outlineLevel="0" collapsed="false">
      <c r="A235" s="0" t="str">
        <f aca="false">CONCATENATE(B235,C235)</f>
        <v>AM2025-04</v>
      </c>
      <c r="B235" s="1" t="s">
        <v>53</v>
      </c>
      <c r="C235" s="1" t="s">
        <v>14</v>
      </c>
      <c r="D235" s="1" t="s">
        <v>86</v>
      </c>
      <c r="E235" s="9" t="n">
        <v>37443</v>
      </c>
    </row>
    <row r="236" customFormat="false" ht="14.25" hidden="false" customHeight="false" outlineLevel="0" collapsed="false">
      <c r="A236" s="0" t="str">
        <f aca="false">CONCATENATE(B236,C236)</f>
        <v>AM2025-05</v>
      </c>
      <c r="B236" s="1" t="s">
        <v>53</v>
      </c>
      <c r="C236" s="1" t="s">
        <v>15</v>
      </c>
      <c r="D236" s="1" t="s">
        <v>86</v>
      </c>
      <c r="E236" s="9" t="n">
        <v>35749</v>
      </c>
    </row>
    <row r="237" customFormat="false" ht="14.25" hidden="false" customHeight="false" outlineLevel="0" collapsed="false">
      <c r="A237" s="0" t="str">
        <f aca="false">CONCATENATE(B237,C237)</f>
        <v>AN2024-12</v>
      </c>
      <c r="B237" s="1" t="s">
        <v>54</v>
      </c>
      <c r="C237" s="1" t="s">
        <v>10</v>
      </c>
      <c r="D237" s="1" t="s">
        <v>86</v>
      </c>
      <c r="E237" s="9" t="n">
        <v>40023</v>
      </c>
    </row>
    <row r="238" customFormat="false" ht="14.25" hidden="false" customHeight="false" outlineLevel="0" collapsed="false">
      <c r="A238" s="0" t="str">
        <f aca="false">CONCATENATE(B238,C238)</f>
        <v>AN2025-01</v>
      </c>
      <c r="B238" s="1" t="s">
        <v>54</v>
      </c>
      <c r="C238" s="1" t="s">
        <v>11</v>
      </c>
      <c r="D238" s="1" t="s">
        <v>85</v>
      </c>
      <c r="E238" s="9" t="n">
        <v>11144</v>
      </c>
    </row>
    <row r="239" customFormat="false" ht="14.25" hidden="false" customHeight="false" outlineLevel="0" collapsed="false">
      <c r="A239" s="0" t="str">
        <f aca="false">CONCATENATE(B239,C239)</f>
        <v>AN2025-02</v>
      </c>
      <c r="B239" s="1" t="s">
        <v>54</v>
      </c>
      <c r="C239" s="1" t="s">
        <v>12</v>
      </c>
      <c r="D239" s="1" t="s">
        <v>86</v>
      </c>
      <c r="E239" s="9" t="n">
        <v>18478</v>
      </c>
    </row>
    <row r="240" customFormat="false" ht="14.25" hidden="false" customHeight="false" outlineLevel="0" collapsed="false">
      <c r="A240" s="0" t="str">
        <f aca="false">CONCATENATE(B240,C240)</f>
        <v>AN2025-03</v>
      </c>
      <c r="B240" s="1" t="s">
        <v>54</v>
      </c>
      <c r="C240" s="1" t="s">
        <v>13</v>
      </c>
      <c r="D240" s="1" t="s">
        <v>86</v>
      </c>
      <c r="E240" s="9" t="n">
        <v>2095</v>
      </c>
    </row>
    <row r="241" customFormat="false" ht="14.25" hidden="false" customHeight="false" outlineLevel="0" collapsed="false">
      <c r="A241" s="0" t="str">
        <f aca="false">CONCATENATE(B241,C241)</f>
        <v>AN2025-04</v>
      </c>
      <c r="B241" s="1" t="s">
        <v>54</v>
      </c>
      <c r="C241" s="1" t="s">
        <v>14</v>
      </c>
      <c r="D241" s="1" t="s">
        <v>86</v>
      </c>
      <c r="E241" s="9" t="n">
        <v>41794</v>
      </c>
    </row>
    <row r="242" customFormat="false" ht="14.25" hidden="false" customHeight="false" outlineLevel="0" collapsed="false">
      <c r="A242" s="0" t="str">
        <f aca="false">CONCATENATE(B242,C242)</f>
        <v>AN2025-05</v>
      </c>
      <c r="B242" s="1" t="s">
        <v>54</v>
      </c>
      <c r="C242" s="1" t="s">
        <v>15</v>
      </c>
      <c r="D242" s="1" t="s">
        <v>86</v>
      </c>
      <c r="E242" s="9" t="n">
        <v>6042</v>
      </c>
    </row>
    <row r="243" customFormat="false" ht="14.25" hidden="false" customHeight="false" outlineLevel="0" collapsed="false">
      <c r="A243" s="0" t="str">
        <f aca="false">CONCATENATE(B243,C243)</f>
        <v>AO2024-12</v>
      </c>
      <c r="B243" s="1" t="s">
        <v>55</v>
      </c>
      <c r="C243" s="1" t="s">
        <v>10</v>
      </c>
      <c r="D243" s="1" t="s">
        <v>86</v>
      </c>
      <c r="E243" s="9" t="n">
        <v>49189</v>
      </c>
    </row>
    <row r="244" customFormat="false" ht="14.25" hidden="false" customHeight="false" outlineLevel="0" collapsed="false">
      <c r="A244" s="0" t="str">
        <f aca="false">CONCATENATE(B244,C244)</f>
        <v>AO2025-01</v>
      </c>
      <c r="B244" s="1" t="s">
        <v>55</v>
      </c>
      <c r="C244" s="1" t="s">
        <v>11</v>
      </c>
      <c r="D244" s="1" t="s">
        <v>85</v>
      </c>
      <c r="E244" s="9" t="n">
        <v>35723</v>
      </c>
    </row>
    <row r="245" customFormat="false" ht="14.25" hidden="false" customHeight="false" outlineLevel="0" collapsed="false">
      <c r="A245" s="0" t="str">
        <f aca="false">CONCATENATE(B245,C245)</f>
        <v>AO2025-02</v>
      </c>
      <c r="B245" s="1" t="s">
        <v>55</v>
      </c>
      <c r="C245" s="1" t="s">
        <v>12</v>
      </c>
      <c r="D245" s="1" t="s">
        <v>86</v>
      </c>
      <c r="E245" s="9" t="n">
        <v>31884</v>
      </c>
    </row>
    <row r="246" customFormat="false" ht="14.25" hidden="false" customHeight="false" outlineLevel="0" collapsed="false">
      <c r="A246" s="0" t="str">
        <f aca="false">CONCATENATE(B246,C246)</f>
        <v>AO2025-03</v>
      </c>
      <c r="B246" s="1" t="s">
        <v>55</v>
      </c>
      <c r="C246" s="1" t="s">
        <v>13</v>
      </c>
      <c r="D246" s="1" t="s">
        <v>85</v>
      </c>
      <c r="E246" s="9" t="n">
        <v>39221</v>
      </c>
    </row>
    <row r="247" customFormat="false" ht="14.25" hidden="false" customHeight="false" outlineLevel="0" collapsed="false">
      <c r="A247" s="0" t="str">
        <f aca="false">CONCATENATE(B247,C247)</f>
        <v>AO2025-04</v>
      </c>
      <c r="B247" s="1" t="s">
        <v>55</v>
      </c>
      <c r="C247" s="1" t="s">
        <v>14</v>
      </c>
      <c r="D247" s="1" t="s">
        <v>86</v>
      </c>
      <c r="E247" s="9" t="n">
        <v>27176</v>
      </c>
    </row>
    <row r="248" customFormat="false" ht="14.25" hidden="false" customHeight="false" outlineLevel="0" collapsed="false">
      <c r="A248" s="0" t="str">
        <f aca="false">CONCATENATE(B248,C248)</f>
        <v>AO2025-05</v>
      </c>
      <c r="B248" s="1" t="s">
        <v>55</v>
      </c>
      <c r="C248" s="1" t="s">
        <v>15</v>
      </c>
      <c r="D248" s="1" t="s">
        <v>86</v>
      </c>
      <c r="E248" s="9" t="n">
        <v>41925</v>
      </c>
    </row>
    <row r="249" customFormat="false" ht="14.25" hidden="false" customHeight="false" outlineLevel="0" collapsed="false">
      <c r="A249" s="0" t="str">
        <f aca="false">CONCATENATE(B249,C249)</f>
        <v>AP2024-12</v>
      </c>
      <c r="B249" s="1" t="s">
        <v>56</v>
      </c>
      <c r="C249" s="1" t="s">
        <v>10</v>
      </c>
      <c r="D249" s="1" t="s">
        <v>86</v>
      </c>
      <c r="E249" s="9" t="n">
        <v>12359</v>
      </c>
    </row>
    <row r="250" customFormat="false" ht="14.25" hidden="false" customHeight="false" outlineLevel="0" collapsed="false">
      <c r="A250" s="0" t="str">
        <f aca="false">CONCATENATE(B250,C250)</f>
        <v>AP2025-01</v>
      </c>
      <c r="B250" s="1" t="s">
        <v>56</v>
      </c>
      <c r="C250" s="1" t="s">
        <v>11</v>
      </c>
      <c r="D250" s="1" t="s">
        <v>85</v>
      </c>
      <c r="E250" s="9" t="n">
        <v>10846</v>
      </c>
    </row>
    <row r="251" customFormat="false" ht="14.25" hidden="false" customHeight="false" outlineLevel="0" collapsed="false">
      <c r="A251" s="0" t="str">
        <f aca="false">CONCATENATE(B251,C251)</f>
        <v>AP2025-02</v>
      </c>
      <c r="B251" s="1" t="s">
        <v>56</v>
      </c>
      <c r="C251" s="1" t="s">
        <v>12</v>
      </c>
      <c r="D251" s="1" t="s">
        <v>86</v>
      </c>
      <c r="E251" s="9" t="n">
        <v>49109</v>
      </c>
    </row>
    <row r="252" customFormat="false" ht="14.25" hidden="false" customHeight="false" outlineLevel="0" collapsed="false">
      <c r="A252" s="0" t="str">
        <f aca="false">CONCATENATE(B252,C252)</f>
        <v>AP2025-03</v>
      </c>
      <c r="B252" s="1" t="s">
        <v>56</v>
      </c>
      <c r="C252" s="1" t="s">
        <v>13</v>
      </c>
      <c r="D252" s="1" t="s">
        <v>86</v>
      </c>
      <c r="E252" s="9" t="n">
        <v>14581</v>
      </c>
    </row>
    <row r="253" customFormat="false" ht="14.25" hidden="false" customHeight="false" outlineLevel="0" collapsed="false">
      <c r="A253" s="0" t="str">
        <f aca="false">CONCATENATE(B253,C253)</f>
        <v>AP2025-04</v>
      </c>
      <c r="B253" s="1" t="s">
        <v>56</v>
      </c>
      <c r="C253" s="1" t="s">
        <v>14</v>
      </c>
      <c r="D253" s="1" t="s">
        <v>86</v>
      </c>
      <c r="E253" s="9" t="n">
        <v>48615</v>
      </c>
    </row>
    <row r="254" customFormat="false" ht="14.25" hidden="false" customHeight="false" outlineLevel="0" collapsed="false">
      <c r="A254" s="0" t="str">
        <f aca="false">CONCATENATE(B254,C254)</f>
        <v>AP2025-05</v>
      </c>
      <c r="B254" s="1" t="s">
        <v>56</v>
      </c>
      <c r="C254" s="1" t="s">
        <v>15</v>
      </c>
      <c r="D254" s="1" t="s">
        <v>85</v>
      </c>
      <c r="E254" s="9" t="n">
        <v>19053</v>
      </c>
    </row>
    <row r="255" customFormat="false" ht="14.25" hidden="false" customHeight="false" outlineLevel="0" collapsed="false">
      <c r="A255" s="0" t="str">
        <f aca="false">CONCATENATE(B255,C255)</f>
        <v>AQ2024-12</v>
      </c>
      <c r="B255" s="1" t="s">
        <v>57</v>
      </c>
      <c r="C255" s="1" t="s">
        <v>10</v>
      </c>
      <c r="D255" s="1" t="s">
        <v>86</v>
      </c>
      <c r="E255" s="9" t="n">
        <v>3142</v>
      </c>
    </row>
    <row r="256" customFormat="false" ht="14.25" hidden="false" customHeight="false" outlineLevel="0" collapsed="false">
      <c r="A256" s="0" t="str">
        <f aca="false">CONCATENATE(B256,C256)</f>
        <v>AQ2025-01</v>
      </c>
      <c r="B256" s="1" t="s">
        <v>57</v>
      </c>
      <c r="C256" s="1" t="s">
        <v>11</v>
      </c>
      <c r="D256" s="1" t="s">
        <v>86</v>
      </c>
      <c r="E256" s="9" t="n">
        <v>31278</v>
      </c>
    </row>
    <row r="257" customFormat="false" ht="14.25" hidden="false" customHeight="false" outlineLevel="0" collapsed="false">
      <c r="A257" s="0" t="str">
        <f aca="false">CONCATENATE(B257,C257)</f>
        <v>AQ2025-02</v>
      </c>
      <c r="B257" s="1" t="s">
        <v>57</v>
      </c>
      <c r="C257" s="1" t="s">
        <v>12</v>
      </c>
      <c r="D257" s="1" t="s">
        <v>85</v>
      </c>
      <c r="E257" s="9" t="n">
        <v>29699</v>
      </c>
    </row>
    <row r="258" customFormat="false" ht="14.25" hidden="false" customHeight="false" outlineLevel="0" collapsed="false">
      <c r="A258" s="0" t="str">
        <f aca="false">CONCATENATE(B258,C258)</f>
        <v>AQ2025-03</v>
      </c>
      <c r="B258" s="1" t="s">
        <v>57</v>
      </c>
      <c r="C258" s="1" t="s">
        <v>13</v>
      </c>
      <c r="D258" s="1" t="s">
        <v>86</v>
      </c>
      <c r="E258" s="9" t="n">
        <v>26942</v>
      </c>
    </row>
    <row r="259" customFormat="false" ht="14.25" hidden="false" customHeight="false" outlineLevel="0" collapsed="false">
      <c r="A259" s="0" t="str">
        <f aca="false">CONCATENATE(B259,C259)</f>
        <v>AQ2025-04</v>
      </c>
      <c r="B259" s="1" t="s">
        <v>57</v>
      </c>
      <c r="C259" s="1" t="s">
        <v>14</v>
      </c>
      <c r="D259" s="1" t="s">
        <v>86</v>
      </c>
      <c r="E259" s="9" t="n">
        <v>23327</v>
      </c>
    </row>
    <row r="260" customFormat="false" ht="14.25" hidden="false" customHeight="false" outlineLevel="0" collapsed="false">
      <c r="A260" s="0" t="str">
        <f aca="false">CONCATENATE(B260,C260)</f>
        <v>AQ2025-05</v>
      </c>
      <c r="B260" s="1" t="s">
        <v>57</v>
      </c>
      <c r="C260" s="1" t="s">
        <v>15</v>
      </c>
      <c r="D260" s="1" t="s">
        <v>85</v>
      </c>
      <c r="E260" s="9" t="n">
        <v>32952</v>
      </c>
    </row>
    <row r="261" customFormat="false" ht="14.25" hidden="false" customHeight="false" outlineLevel="0" collapsed="false">
      <c r="A261" s="0" t="str">
        <f aca="false">CONCATENATE(B261,C261)</f>
        <v>AR2024-12</v>
      </c>
      <c r="B261" s="1" t="s">
        <v>58</v>
      </c>
      <c r="C261" s="1" t="s">
        <v>10</v>
      </c>
      <c r="D261" s="1" t="s">
        <v>86</v>
      </c>
      <c r="E261" s="9" t="n">
        <v>23453</v>
      </c>
    </row>
    <row r="262" customFormat="false" ht="14.25" hidden="false" customHeight="false" outlineLevel="0" collapsed="false">
      <c r="A262" s="0" t="str">
        <f aca="false">CONCATENATE(B262,C262)</f>
        <v>AR2025-01</v>
      </c>
      <c r="B262" s="1" t="s">
        <v>58</v>
      </c>
      <c r="C262" s="1" t="s">
        <v>11</v>
      </c>
      <c r="D262" s="1" t="s">
        <v>86</v>
      </c>
      <c r="E262" s="9" t="n">
        <v>43994</v>
      </c>
    </row>
    <row r="263" customFormat="false" ht="14.25" hidden="false" customHeight="false" outlineLevel="0" collapsed="false">
      <c r="A263" s="0" t="str">
        <f aca="false">CONCATENATE(B263,C263)</f>
        <v>AR2025-02</v>
      </c>
      <c r="B263" s="1" t="s">
        <v>58</v>
      </c>
      <c r="C263" s="1" t="s">
        <v>12</v>
      </c>
      <c r="D263" s="1" t="s">
        <v>86</v>
      </c>
      <c r="E263" s="9" t="n">
        <v>41766</v>
      </c>
    </row>
    <row r="264" customFormat="false" ht="14.25" hidden="false" customHeight="false" outlineLevel="0" collapsed="false">
      <c r="A264" s="0" t="str">
        <f aca="false">CONCATENATE(B264,C264)</f>
        <v>AR2025-03</v>
      </c>
      <c r="B264" s="1" t="s">
        <v>58</v>
      </c>
      <c r="C264" s="1" t="s">
        <v>13</v>
      </c>
      <c r="D264" s="1" t="s">
        <v>85</v>
      </c>
      <c r="E264" s="9" t="n">
        <v>21105</v>
      </c>
    </row>
    <row r="265" customFormat="false" ht="14.25" hidden="false" customHeight="false" outlineLevel="0" collapsed="false">
      <c r="A265" s="0" t="str">
        <f aca="false">CONCATENATE(B265,C265)</f>
        <v>AR2025-04</v>
      </c>
      <c r="B265" s="1" t="s">
        <v>58</v>
      </c>
      <c r="C265" s="1" t="s">
        <v>14</v>
      </c>
      <c r="D265" s="1" t="s">
        <v>86</v>
      </c>
      <c r="E265" s="9" t="n">
        <v>23131</v>
      </c>
    </row>
    <row r="266" customFormat="false" ht="14.25" hidden="false" customHeight="false" outlineLevel="0" collapsed="false">
      <c r="A266" s="0" t="str">
        <f aca="false">CONCATENATE(B266,C266)</f>
        <v>AR2025-05</v>
      </c>
      <c r="B266" s="1" t="s">
        <v>58</v>
      </c>
      <c r="C266" s="1" t="s">
        <v>15</v>
      </c>
      <c r="D266" s="1" t="s">
        <v>86</v>
      </c>
      <c r="E266" s="9" t="n">
        <v>37588</v>
      </c>
    </row>
    <row r="267" customFormat="false" ht="14.25" hidden="false" customHeight="false" outlineLevel="0" collapsed="false">
      <c r="A267" s="0" t="str">
        <f aca="false">CONCATENATE(B267,C267)</f>
        <v>AS2024-12</v>
      </c>
      <c r="B267" s="1" t="s">
        <v>59</v>
      </c>
      <c r="C267" s="1" t="s">
        <v>10</v>
      </c>
      <c r="D267" s="1" t="s">
        <v>86</v>
      </c>
      <c r="E267" s="9" t="n">
        <v>8913</v>
      </c>
    </row>
    <row r="268" customFormat="false" ht="14.25" hidden="false" customHeight="false" outlineLevel="0" collapsed="false">
      <c r="A268" s="0" t="str">
        <f aca="false">CONCATENATE(B268,C268)</f>
        <v>AS2025-01</v>
      </c>
      <c r="B268" s="1" t="s">
        <v>59</v>
      </c>
      <c r="C268" s="1" t="s">
        <v>11</v>
      </c>
      <c r="D268" s="1" t="s">
        <v>86</v>
      </c>
      <c r="E268" s="9" t="n">
        <v>30440</v>
      </c>
    </row>
    <row r="269" customFormat="false" ht="14.25" hidden="false" customHeight="false" outlineLevel="0" collapsed="false">
      <c r="A269" s="0" t="str">
        <f aca="false">CONCATENATE(B269,C269)</f>
        <v>AS2025-02</v>
      </c>
      <c r="B269" s="1" t="s">
        <v>59</v>
      </c>
      <c r="C269" s="1" t="s">
        <v>12</v>
      </c>
      <c r="D269" s="1" t="s">
        <v>85</v>
      </c>
      <c r="E269" s="9" t="n">
        <v>9926</v>
      </c>
    </row>
    <row r="270" customFormat="false" ht="14.25" hidden="false" customHeight="false" outlineLevel="0" collapsed="false">
      <c r="A270" s="0" t="str">
        <f aca="false">CONCATENATE(B270,C270)</f>
        <v>AS2025-03</v>
      </c>
      <c r="B270" s="1" t="s">
        <v>59</v>
      </c>
      <c r="C270" s="1" t="s">
        <v>13</v>
      </c>
      <c r="D270" s="1" t="s">
        <v>86</v>
      </c>
      <c r="E270" s="9" t="n">
        <v>5240</v>
      </c>
    </row>
    <row r="271" customFormat="false" ht="14.25" hidden="false" customHeight="false" outlineLevel="0" collapsed="false">
      <c r="A271" s="0" t="str">
        <f aca="false">CONCATENATE(B271,C271)</f>
        <v>AS2025-04</v>
      </c>
      <c r="B271" s="1" t="s">
        <v>59</v>
      </c>
      <c r="C271" s="1" t="s">
        <v>14</v>
      </c>
      <c r="D271" s="1" t="s">
        <v>86</v>
      </c>
      <c r="E271" s="9" t="n">
        <v>4200</v>
      </c>
    </row>
    <row r="272" customFormat="false" ht="14.25" hidden="false" customHeight="false" outlineLevel="0" collapsed="false">
      <c r="A272" s="0" t="str">
        <f aca="false">CONCATENATE(B272,C272)</f>
        <v>AS2025-05</v>
      </c>
      <c r="B272" s="1" t="s">
        <v>59</v>
      </c>
      <c r="C272" s="1" t="s">
        <v>15</v>
      </c>
      <c r="D272" s="1" t="s">
        <v>85</v>
      </c>
      <c r="E272" s="9" t="n">
        <v>27942</v>
      </c>
    </row>
    <row r="273" customFormat="false" ht="14.25" hidden="false" customHeight="false" outlineLevel="0" collapsed="false">
      <c r="A273" s="0" t="str">
        <f aca="false">CONCATENATE(B273,C273)</f>
        <v>AT2024-12</v>
      </c>
      <c r="B273" s="1" t="s">
        <v>60</v>
      </c>
      <c r="C273" s="1" t="s">
        <v>10</v>
      </c>
      <c r="D273" s="1" t="s">
        <v>85</v>
      </c>
      <c r="E273" s="9" t="n">
        <v>37061</v>
      </c>
    </row>
    <row r="274" customFormat="false" ht="14.25" hidden="false" customHeight="false" outlineLevel="0" collapsed="false">
      <c r="A274" s="0" t="str">
        <f aca="false">CONCATENATE(B274,C274)</f>
        <v>AT2025-01</v>
      </c>
      <c r="B274" s="1" t="s">
        <v>60</v>
      </c>
      <c r="C274" s="1" t="s">
        <v>11</v>
      </c>
      <c r="D274" s="1" t="s">
        <v>86</v>
      </c>
      <c r="E274" s="9" t="n">
        <v>22830</v>
      </c>
    </row>
    <row r="275" customFormat="false" ht="14.25" hidden="false" customHeight="false" outlineLevel="0" collapsed="false">
      <c r="A275" s="0" t="str">
        <f aca="false">CONCATENATE(B275,C275)</f>
        <v>AT2025-02</v>
      </c>
      <c r="B275" s="1" t="s">
        <v>60</v>
      </c>
      <c r="C275" s="1" t="s">
        <v>12</v>
      </c>
      <c r="D275" s="1" t="s">
        <v>86</v>
      </c>
      <c r="E275" s="9" t="n">
        <v>14502</v>
      </c>
    </row>
    <row r="276" customFormat="false" ht="14.25" hidden="false" customHeight="false" outlineLevel="0" collapsed="false">
      <c r="A276" s="0" t="str">
        <f aca="false">CONCATENATE(B276,C276)</f>
        <v>AT2025-03</v>
      </c>
      <c r="B276" s="1" t="s">
        <v>60</v>
      </c>
      <c r="C276" s="1" t="s">
        <v>13</v>
      </c>
      <c r="D276" s="1" t="s">
        <v>86</v>
      </c>
      <c r="E276" s="9" t="n">
        <v>18401</v>
      </c>
    </row>
    <row r="277" customFormat="false" ht="14.25" hidden="false" customHeight="false" outlineLevel="0" collapsed="false">
      <c r="A277" s="0" t="str">
        <f aca="false">CONCATENATE(B277,C277)</f>
        <v>AT2025-04</v>
      </c>
      <c r="B277" s="1" t="s">
        <v>60</v>
      </c>
      <c r="C277" s="1" t="s">
        <v>14</v>
      </c>
      <c r="D277" s="1" t="s">
        <v>86</v>
      </c>
      <c r="E277" s="9" t="n">
        <v>28430</v>
      </c>
    </row>
    <row r="278" customFormat="false" ht="14.25" hidden="false" customHeight="false" outlineLevel="0" collapsed="false">
      <c r="A278" s="0" t="str">
        <f aca="false">CONCATENATE(B278,C278)</f>
        <v>AT2025-05</v>
      </c>
      <c r="B278" s="1" t="s">
        <v>60</v>
      </c>
      <c r="C278" s="1" t="s">
        <v>15</v>
      </c>
      <c r="D278" s="1" t="s">
        <v>86</v>
      </c>
      <c r="E278" s="9" t="n">
        <v>48041</v>
      </c>
    </row>
    <row r="279" customFormat="false" ht="14.25" hidden="false" customHeight="false" outlineLevel="0" collapsed="false">
      <c r="A279" s="0" t="str">
        <f aca="false">CONCATENATE(B279,C279)</f>
        <v>AU2024-12</v>
      </c>
      <c r="B279" s="1" t="s">
        <v>61</v>
      </c>
      <c r="C279" s="1" t="s">
        <v>10</v>
      </c>
      <c r="D279" s="1" t="s">
        <v>86</v>
      </c>
      <c r="E279" s="9" t="n">
        <v>17706</v>
      </c>
    </row>
    <row r="280" customFormat="false" ht="14.25" hidden="false" customHeight="false" outlineLevel="0" collapsed="false">
      <c r="A280" s="0" t="str">
        <f aca="false">CONCATENATE(B280,C280)</f>
        <v>AU2025-01</v>
      </c>
      <c r="B280" s="1" t="s">
        <v>61</v>
      </c>
      <c r="C280" s="1" t="s">
        <v>11</v>
      </c>
      <c r="D280" s="1" t="s">
        <v>86</v>
      </c>
      <c r="E280" s="9" t="n">
        <v>10860</v>
      </c>
    </row>
    <row r="281" customFormat="false" ht="14.25" hidden="false" customHeight="false" outlineLevel="0" collapsed="false">
      <c r="A281" s="0" t="str">
        <f aca="false">CONCATENATE(B281,C281)</f>
        <v>AU2025-02</v>
      </c>
      <c r="B281" s="1" t="s">
        <v>61</v>
      </c>
      <c r="C281" s="1" t="s">
        <v>12</v>
      </c>
      <c r="D281" s="1" t="s">
        <v>86</v>
      </c>
      <c r="E281" s="9" t="n">
        <v>34348</v>
      </c>
    </row>
    <row r="282" customFormat="false" ht="14.25" hidden="false" customHeight="false" outlineLevel="0" collapsed="false">
      <c r="A282" s="0" t="str">
        <f aca="false">CONCATENATE(B282,C282)</f>
        <v>AU2025-03</v>
      </c>
      <c r="B282" s="1" t="s">
        <v>61</v>
      </c>
      <c r="C282" s="1" t="s">
        <v>13</v>
      </c>
      <c r="D282" s="1" t="s">
        <v>86</v>
      </c>
      <c r="E282" s="9" t="n">
        <v>7197</v>
      </c>
    </row>
    <row r="283" customFormat="false" ht="14.25" hidden="false" customHeight="false" outlineLevel="0" collapsed="false">
      <c r="A283" s="0" t="str">
        <f aca="false">CONCATENATE(B283,C283)</f>
        <v>AU2025-04</v>
      </c>
      <c r="B283" s="1" t="s">
        <v>61</v>
      </c>
      <c r="C283" s="1" t="s">
        <v>14</v>
      </c>
      <c r="D283" s="1" t="s">
        <v>86</v>
      </c>
      <c r="E283" s="9" t="n">
        <v>28447</v>
      </c>
    </row>
    <row r="284" customFormat="false" ht="14.25" hidden="false" customHeight="false" outlineLevel="0" collapsed="false">
      <c r="A284" s="0" t="str">
        <f aca="false">CONCATENATE(B284,C284)</f>
        <v>AU2025-05</v>
      </c>
      <c r="B284" s="1" t="s">
        <v>61</v>
      </c>
      <c r="C284" s="1" t="s">
        <v>15</v>
      </c>
      <c r="D284" s="1" t="s">
        <v>86</v>
      </c>
      <c r="E284" s="9" t="n">
        <v>8571</v>
      </c>
    </row>
    <row r="285" customFormat="false" ht="14.25" hidden="false" customHeight="false" outlineLevel="0" collapsed="false">
      <c r="A285" s="0" t="str">
        <f aca="false">CONCATENATE(B285,C285)</f>
        <v>AV2024-12</v>
      </c>
      <c r="B285" s="1" t="s">
        <v>62</v>
      </c>
      <c r="C285" s="1" t="s">
        <v>10</v>
      </c>
      <c r="D285" s="1" t="s">
        <v>86</v>
      </c>
      <c r="E285" s="9" t="n">
        <v>21985</v>
      </c>
    </row>
    <row r="286" customFormat="false" ht="14.25" hidden="false" customHeight="false" outlineLevel="0" collapsed="false">
      <c r="A286" s="0" t="str">
        <f aca="false">CONCATENATE(B286,C286)</f>
        <v>AV2025-01</v>
      </c>
      <c r="B286" s="1" t="s">
        <v>62</v>
      </c>
      <c r="C286" s="1" t="s">
        <v>11</v>
      </c>
      <c r="D286" s="1" t="s">
        <v>86</v>
      </c>
      <c r="E286" s="9" t="n">
        <v>25487</v>
      </c>
    </row>
    <row r="287" customFormat="false" ht="14.25" hidden="false" customHeight="false" outlineLevel="0" collapsed="false">
      <c r="A287" s="0" t="str">
        <f aca="false">CONCATENATE(B287,C287)</f>
        <v>AV2025-02</v>
      </c>
      <c r="B287" s="1" t="s">
        <v>62</v>
      </c>
      <c r="C287" s="1" t="s">
        <v>12</v>
      </c>
      <c r="D287" s="1" t="s">
        <v>86</v>
      </c>
      <c r="E287" s="9" t="n">
        <v>8131</v>
      </c>
    </row>
    <row r="288" customFormat="false" ht="14.25" hidden="false" customHeight="false" outlineLevel="0" collapsed="false">
      <c r="A288" s="0" t="str">
        <f aca="false">CONCATENATE(B288,C288)</f>
        <v>AV2025-03</v>
      </c>
      <c r="B288" s="1" t="s">
        <v>62</v>
      </c>
      <c r="C288" s="1" t="s">
        <v>13</v>
      </c>
      <c r="D288" s="1" t="s">
        <v>86</v>
      </c>
      <c r="E288" s="9" t="n">
        <v>17900</v>
      </c>
    </row>
    <row r="289" customFormat="false" ht="14.25" hidden="false" customHeight="false" outlineLevel="0" collapsed="false">
      <c r="A289" s="0" t="str">
        <f aca="false">CONCATENATE(B289,C289)</f>
        <v>AV2025-04</v>
      </c>
      <c r="B289" s="1" t="s">
        <v>62</v>
      </c>
      <c r="C289" s="1" t="s">
        <v>14</v>
      </c>
      <c r="D289" s="1" t="s">
        <v>86</v>
      </c>
      <c r="E289" s="9" t="n">
        <v>48114</v>
      </c>
    </row>
    <row r="290" customFormat="false" ht="14.25" hidden="false" customHeight="false" outlineLevel="0" collapsed="false">
      <c r="A290" s="0" t="str">
        <f aca="false">CONCATENATE(B290,C290)</f>
        <v>AV2025-05</v>
      </c>
      <c r="B290" s="1" t="s">
        <v>62</v>
      </c>
      <c r="C290" s="1" t="s">
        <v>15</v>
      </c>
      <c r="D290" s="1" t="s">
        <v>85</v>
      </c>
      <c r="E290" s="9" t="n">
        <v>38836</v>
      </c>
    </row>
    <row r="291" customFormat="false" ht="14.25" hidden="false" customHeight="false" outlineLevel="0" collapsed="false">
      <c r="A291" s="0" t="str">
        <f aca="false">CONCATENATE(B291,C291)</f>
        <v>AX2024-12</v>
      </c>
      <c r="B291" s="1" t="s">
        <v>63</v>
      </c>
      <c r="C291" s="1" t="s">
        <v>10</v>
      </c>
      <c r="D291" s="1" t="s">
        <v>86</v>
      </c>
      <c r="E291" s="9" t="n">
        <v>3968</v>
      </c>
    </row>
    <row r="292" customFormat="false" ht="14.25" hidden="false" customHeight="false" outlineLevel="0" collapsed="false">
      <c r="A292" s="0" t="str">
        <f aca="false">CONCATENATE(B292,C292)</f>
        <v>AX2025-01</v>
      </c>
      <c r="B292" s="1" t="s">
        <v>63</v>
      </c>
      <c r="C292" s="1" t="s">
        <v>11</v>
      </c>
      <c r="D292" s="1" t="s">
        <v>86</v>
      </c>
      <c r="E292" s="9" t="n">
        <v>31885</v>
      </c>
    </row>
    <row r="293" customFormat="false" ht="14.25" hidden="false" customHeight="false" outlineLevel="0" collapsed="false">
      <c r="A293" s="0" t="str">
        <f aca="false">CONCATENATE(B293,C293)</f>
        <v>AX2025-02</v>
      </c>
      <c r="B293" s="1" t="s">
        <v>63</v>
      </c>
      <c r="C293" s="1" t="s">
        <v>12</v>
      </c>
      <c r="D293" s="1" t="s">
        <v>86</v>
      </c>
      <c r="E293" s="9" t="n">
        <v>8973</v>
      </c>
    </row>
    <row r="294" customFormat="false" ht="14.25" hidden="false" customHeight="false" outlineLevel="0" collapsed="false">
      <c r="A294" s="0" t="str">
        <f aca="false">CONCATENATE(B294,C294)</f>
        <v>AX2025-03</v>
      </c>
      <c r="B294" s="1" t="s">
        <v>63</v>
      </c>
      <c r="C294" s="1" t="s">
        <v>13</v>
      </c>
      <c r="D294" s="1" t="s">
        <v>86</v>
      </c>
      <c r="E294" s="9" t="n">
        <v>28907</v>
      </c>
    </row>
    <row r="295" customFormat="false" ht="14.25" hidden="false" customHeight="false" outlineLevel="0" collapsed="false">
      <c r="A295" s="0" t="str">
        <f aca="false">CONCATENATE(B295,C295)</f>
        <v>AX2025-04</v>
      </c>
      <c r="B295" s="1" t="s">
        <v>63</v>
      </c>
      <c r="C295" s="1" t="s">
        <v>14</v>
      </c>
      <c r="D295" s="1" t="s">
        <v>85</v>
      </c>
      <c r="E295" s="9" t="n">
        <v>3946</v>
      </c>
    </row>
    <row r="296" customFormat="false" ht="14.25" hidden="false" customHeight="false" outlineLevel="0" collapsed="false">
      <c r="A296" s="0" t="str">
        <f aca="false">CONCATENATE(B296,C296)</f>
        <v>AX2025-05</v>
      </c>
      <c r="B296" s="1" t="s">
        <v>63</v>
      </c>
      <c r="C296" s="1" t="s">
        <v>15</v>
      </c>
      <c r="D296" s="1" t="s">
        <v>86</v>
      </c>
      <c r="E296" s="9" t="n">
        <v>2507</v>
      </c>
    </row>
    <row r="297" customFormat="false" ht="14.25" hidden="false" customHeight="false" outlineLevel="0" collapsed="false">
      <c r="A297" s="0" t="str">
        <f aca="false">CONCATENATE(B297,C297)</f>
        <v>AW2024-12</v>
      </c>
      <c r="B297" s="1" t="s">
        <v>64</v>
      </c>
      <c r="C297" s="1" t="s">
        <v>10</v>
      </c>
      <c r="D297" s="1" t="s">
        <v>86</v>
      </c>
      <c r="E297" s="9" t="n">
        <v>35366</v>
      </c>
    </row>
    <row r="298" customFormat="false" ht="14.25" hidden="false" customHeight="false" outlineLevel="0" collapsed="false">
      <c r="A298" s="0" t="str">
        <f aca="false">CONCATENATE(B298,C298)</f>
        <v>AW2025-01</v>
      </c>
      <c r="B298" s="1" t="s">
        <v>64</v>
      </c>
      <c r="C298" s="1" t="s">
        <v>11</v>
      </c>
      <c r="D298" s="1" t="s">
        <v>85</v>
      </c>
      <c r="E298" s="9" t="n">
        <v>19951</v>
      </c>
    </row>
    <row r="299" customFormat="false" ht="14.25" hidden="false" customHeight="false" outlineLevel="0" collapsed="false">
      <c r="A299" s="0" t="str">
        <f aca="false">CONCATENATE(B299,C299)</f>
        <v>AW2025-02</v>
      </c>
      <c r="B299" s="1" t="s">
        <v>64</v>
      </c>
      <c r="C299" s="1" t="s">
        <v>12</v>
      </c>
      <c r="D299" s="1" t="s">
        <v>86</v>
      </c>
      <c r="E299" s="9" t="n">
        <v>41093</v>
      </c>
    </row>
    <row r="300" customFormat="false" ht="14.25" hidden="false" customHeight="false" outlineLevel="0" collapsed="false">
      <c r="A300" s="0" t="str">
        <f aca="false">CONCATENATE(B300,C300)</f>
        <v>AW2025-03</v>
      </c>
      <c r="B300" s="1" t="s">
        <v>64</v>
      </c>
      <c r="C300" s="1" t="s">
        <v>13</v>
      </c>
      <c r="D300" s="1" t="s">
        <v>86</v>
      </c>
      <c r="E300" s="9" t="n">
        <v>11732</v>
      </c>
    </row>
    <row r="301" customFormat="false" ht="14.25" hidden="false" customHeight="false" outlineLevel="0" collapsed="false">
      <c r="A301" s="0" t="str">
        <f aca="false">CONCATENATE(B301,C301)</f>
        <v>AW2025-04</v>
      </c>
      <c r="B301" s="1" t="s">
        <v>64</v>
      </c>
      <c r="C301" s="1" t="s">
        <v>14</v>
      </c>
      <c r="D301" s="1" t="s">
        <v>86</v>
      </c>
      <c r="E301" s="9" t="n">
        <v>5887</v>
      </c>
    </row>
    <row r="302" customFormat="false" ht="14.25" hidden="false" customHeight="false" outlineLevel="0" collapsed="false">
      <c r="A302" s="0" t="str">
        <f aca="false">CONCATENATE(B302,C302)</f>
        <v>AW2025-05</v>
      </c>
      <c r="B302" s="1" t="s">
        <v>64</v>
      </c>
      <c r="C302" s="1" t="s">
        <v>15</v>
      </c>
      <c r="D302" s="1" t="s">
        <v>86</v>
      </c>
      <c r="E302" s="9" t="n">
        <v>46600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&amp;L_x005F_x000D_&amp;1#&amp;7 ***Este documento está clasificado como USO INTERNO por TELEFÓNICA.
***This document is classified as INTERNAL USE by TELEFÓNICA.</oddFooter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UEAABQSwMEFAACAAgANbhWWhUN7q6jAAAA9gAAABIAHABDb25maWcvUGFja2FnZS54bWwgohgAKKAUAAAAAAAAAAAAAAAAAAAAAAAAAAAAhY9NDoIwGESvQrrvD3VjyEdJdCuJ0cS4bUqFRiiEFsvdXHgkryBGUXcu581bzNyvN8jGpo4uunemtSmKCUORtqotjC1TNPgTXqJMwFaqsyx1NMnWJaMrUlR53yWUhhBIWJC2LylnLKbHfLNXlW4k+sjmv4yNdV5apZGAw2uM4CTmjHDOCQM6Q8iN/Qp82vtsfyCsh9oPvRadx6sd0DkCfX8QD1BLAwQUAAIACAA1uFZa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NbhWWkt7v+CgAQAA1QUAABMAHABGb3JtdWxhcy9TZWN0aW9uMS5tIKIYACigFAAAAAAAAAAAAAAAAAAAAAAAAAAAAM1TwUojQRS8B/IPTXtJYAiKqweXHIYxwaDripmwhySEl5m3prGnn/R740ZCvscP8cfsSdRkUcGDoHNpqOp+VdPVxZiJIaf663XvZ71Wr/EMPOYqOet1ztNOX7WVRanXVPi65AQD0JlnaFt/yF9Pia4bXWOxlVScE27o5Gg0YPQ8inf3Dg539/dHx/TPWYKcRxkwTsCBNWEVtJhR0ZpbnutmpFxpbaTEl9iM1oLPJib9GaIE5ZWDxbAnWLT1M6ujU+Pytl5t0uPl8BgExk8jdnQCU3y4BzsjVheeCro1ObEO01KYBucrTPAEIQ+uG/9rRmr4xMfW9jOw4LldWRw3XwRSc0MqtoIectrMTT04/ku+SMiWhUvvbpAb79qJFgudWROuECcm15HqOTn80apOLSO10IxXRSApMBIwJTiXFYEslew2vGzWa8a9bW87426cDi7jX+F3f39pzFs+3k56a8Pnhv1K+dvkXSCHG3zJNQdZ4x4zNAKvD2Qlb16HK4sp+g8/hORkcHn+tU2vHLxT84r65I5v1L594KHeUvLH+/0IUEsBAi0AFAACAAgANbhWWhUN7q6jAAAA9gAAABIAAAAAAAAAAAAAAAAAAAAAAENvbmZpZy9QYWNrYWdlLnhtbFBLAQItABQAAgAIADW4VloPyumrpAAAAOkAAAATAAAAAAAAAAAAAAAAAO8AAABbQ29udGVudF9UeXBlc10ueG1sUEsBAi0AFAACAAgANbhWWkt7v+CgAQAA1QUAABMAAAAAAAAAAAAAAAAA4AEAAEZvcm11bGFzL1NlY3Rpb24xLm1QSwUGAAAAAAMAAwDCAAAAzQM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QRwAAAAAAAAfHA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Q0xJRU5URVM8L0l0ZW1QYXRoPjwvSXRlbUxvY2F0aW9uPjxTdGFibGVFbnRyaWVzPjxFbnRyeSBUeXBlPSJJc1ByaXZhdGUiIFZhbHVlPSJsMCIgLz48RW50cnkgVHlwZT0iRmlsbEVuYWJsZWQiIFZhbHVlPSJsMCIgLz48RW50cnkgVHlwZT0iRmlsbENvbHVtblR5cGVzIiBWYWx1ZT0ic0F3WUciIC8+PEVudHJ5IFR5cGU9IkZpbGxMYXN0VXBkYXRlZCIgVmFsdWU9ImQyMDI1LTAyLTIzVDAwOjQ1OjU2LjkxNDU5NDhaIiAvPjxFbnRyeSBUeXBlPSJOYXZpZ2F0aW9uU3RlcE5hbWUiIFZhbHVlPSJzTmF2ZWdhw6fDo28iIC8+PEVudHJ5IFR5cGU9Ik5hbWVVcGRhdGVkQWZ0ZXJGaWxsIiBWYWx1ZT0ibDAiIC8+PEVudHJ5IFR5cGU9IlJlc3VsdFR5cGUiIFZhbHVlPSJzVGFibGUiIC8+PEVudHJ5IFR5cGU9IkJ1ZmZlck5leHRSZWZyZXNoIiBWYWx1ZT0ibDEiIC8+PEVudHJ5IFR5cGU9IkZpbGxlZENvbXBsZXRlUmVzdWx0VG9Xb3Jrc2hlZXQiIFZhbHVlPSJsMSIgLz48RW50cnkgVHlwZT0iRmlsbEVycm9yQ29kZSIgVmFsdWU9InNVbmtub3duIiAvPjxFbnRyeSBUeXBlPSJGaWxsRXJyb3JDb3VudCIgVmFsdWU9ImwwIiAvPjxFbnRyeSBUeXBlPSJBZGRlZFRvRGF0YU1vZGVsIiBWYWx1ZT0ibDAiIC8+PEVudHJ5IFR5cGU9IkZpbGxDb3VudCIgVmFsdWU9Imw1MCIgLz48RW50cnkgVHlwZT0iRmlsbFRvRGF0YU1vZGVsRW5hYmxlZCIgVmFsdWU9ImwwIiAvPjxFbnRyeSBUeXBlPSJGaWxsT2JqZWN0VHlwZSIgVmFsdWU9InNDb25uZWN0aW9uT25seSIgLz48RW50cnkgVHlwZT0iRmlsbENvbHVtbk5hbWVzIiBWYWx1ZT0ic1smcXVvdDtjbGllbnRlX2lkJnF1b3Q7LCZxdW90O3NlZ21lbnRvJnF1b3Q7LCZxdW90O2VzdGFkby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0NMSUVOVEVTL0F1dG9SZW1vdmVkQ29sdW1uczEue2NsaWVudGVfaWQsMH0mcXVvdDssJnF1b3Q7U2VjdGlvbjEvQ0xJRU5URVMvQXV0b1JlbW92ZWRDb2x1bW5zMS57c2VnbWVudG8sMX0mcXVvdDssJnF1b3Q7U2VjdGlvbjEvQ0xJRU5URVMvQXV0b1JlbW92ZWRDb2x1bW5zMS57ZXN0YWRvLDJ9JnF1b3Q7XSwmcXVvdDtDb2x1bW5Db3VudCZxdW90OzozLCZxdW90O0tleUNvbHVtbk5hbWVzJnF1b3Q7OltdLCZxdW90O0NvbHVtbklkZW50aXRpZXMmcXVvdDs6WyZxdW90O1NlY3Rpb24xL0NMSUVOVEVTL0F1dG9SZW1vdmVkQ29sdW1uczEue2NsaWVudGVfaWQsMH0mcXVvdDssJnF1b3Q7U2VjdGlvbjEvQ0xJRU5URVMvQXV0b1JlbW92ZWRDb2x1bW5zMS57c2VnbWVudG8sMX0mcXVvdDssJnF1b3Q7U2VjdGlvbjEvQ0xJRU5URVMvQXV0b1JlbW92ZWRDb2x1bW5zMS57ZXN0YWRvLDJ9JnF1b3Q7XSwmcXVvdDtSZWxhdGlvbnNoaXBJbmZvJnF1b3Q7OltdfSIgLz48L1N0YWJsZUVudHJpZXM+PC9JdGVtPjxJdGVtPjxJdGVtTG9jYXRpb24+PEl0ZW1UeXBlPkZvcm11bGE8L0l0ZW1UeXBlPjxJdGVtUGF0aD5TZWN0aW9uMS9DTElFTlRFUy9Gb250ZTwvSXRlbVBhdGg+PC9JdGVtTG9jYXRpb24+PFN0YWJsZUVudHJpZXMgLz48L0l0ZW0+PEl0ZW0+PEl0ZW1Mb2NhdGlvbj48SXRlbVR5cGU+Rm9ybXVsYTwvSXRlbVR5cGU+PEl0ZW1QYXRoPlNlY3Rpb24xL0NMSUVOVEVTL0NMSUVOVEVTX1NoZWV0PC9JdGVtUGF0aD48L0l0ZW1Mb2NhdGlvbj48U3RhYmxlRW50cmllcyAvPjwvSXRlbT48SXRlbT48SXRlbUxvY2F0aW9uPjxJdGVtVHlwZT5Gb3JtdWxhPC9JdGVtVHlwZT48SXRlbVBhdGg+U2VjdGlvbjEvRkFUVVJBTUVOVE88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TmF2aWdhdGlvblN0ZXBOYW1lIiBWYWx1ZT0ic05hdmVnYcOnw6NvIiAvPjxFbnRyeSBUeXBlPSJOYW1lVXBkYXRlZEFmdGVyRmlsbCIgVmFsdWU9ImwwIiAvPjxFbnRyeSBUeXBlPSJSZXN1bHRUeXBlIiBWYWx1ZT0ic1RhYmxlIiAvPjxFbnRyeSBUeXBlPSJCdWZmZXJOZXh0UmVmcmVzaCIgVmFsdWU9ImwxIiAvPjxFbnRyeSBUeXBlPSJGaWxsZWRDb21wbGV0ZVJlc3VsdFRvV29ya3NoZWV0IiBWYWx1ZT0ibDEiIC8+PEVudHJ5IFR5cGU9IkFkZGVkVG9EYXRhTW9kZWwiIFZhbHVlPSJsMCIgLz48RW50cnkgVHlwZT0iRmlsbENvdW50IiBWYWx1ZT0ibDMwMCIgLz48RW50cnkgVHlwZT0iRmlsbEVycm9yQ29kZSIgVmFsdWU9InNVbmtub3duIiAvPjxFbnRyeSBUeXBlPSJGaWxsRXJyb3JDb3VudCIgVmFsdWU9ImwwIiAvPjxFbnRyeSBUeXBlPSJGaWxsTGFzdFVwZGF0ZWQiIFZhbHVlPSJkMjAyNS0wMi0yM1QwMDo0NTo1Ni45OTExNDU0WiIgLz48RW50cnkgVHlwZT0iRmlsbENvbHVtblR5cGVzIiBWYWx1ZT0ic0F3a0RCUT09IiAvPjxFbnRyeSBUeXBlPSJGaWxsQ29sdW1uTmFtZXMiIFZhbHVlPSJzWyZxdW90O2NsaWVudGVfaWQmcXVvdDssJnF1b3Q7bWVzX2FubyZxdW90OywmcXVvdDtyZWNlaXRhJnF1b3Q7LCZxdW90O2N1c3RvJnF1b3Q7XSIgLz48RW50cnkgVHlwZT0iRmlsbFN0YXR1cyIgVmFsdWU9InNDb21wbGV0ZSIgLz48RW50cnkgVHlwZT0iUmVsYXRpb25zaGlwSW5mb0NvbnRhaW5lciIgVmFsdWU9InN7JnF1b3Q7Y29sdW1uQ291bnQmcXVvdDs6NCwmcXVvdDtrZXlDb2x1bW5OYW1lcyZxdW90OzpbXSwmcXVvdDtxdWVyeVJlbGF0aW9uc2hpcHMmcXVvdDs6W10sJnF1b3Q7Y29sdW1uSWRlbnRpdGllcyZxdW90OzpbJnF1b3Q7U2VjdGlvbjEvRkFUVVJBTUVOVE8vQXV0b1JlbW92ZWRDb2x1bW5zMS57Y2xpZW50ZV9pZCwwfSZxdW90OywmcXVvdDtTZWN0aW9uMS9GQVRVUkFNRU5UTy9BdXRvUmVtb3ZlZENvbHVtbnMxLnttZXNfYW5vLDF9JnF1b3Q7LCZxdW90O1NlY3Rpb24xL0ZBVFVSQU1FTlRPL0F1dG9SZW1vdmVkQ29sdW1uczEue3JlY2VpdGEsMn0mcXVvdDssJnF1b3Q7U2VjdGlvbjEvRkFUVVJBTUVOVE8vQXV0b1JlbW92ZWRDb2x1bW5zMS57Y3VzdG8sM30mcXVvdDtdLCZxdW90O0NvbHVtbkNvdW50JnF1b3Q7OjQsJnF1b3Q7S2V5Q29sdW1uTmFtZXMmcXVvdDs6W10sJnF1b3Q7Q29sdW1uSWRlbnRpdGllcyZxdW90OzpbJnF1b3Q7U2VjdGlvbjEvRkFUVVJBTUVOVE8vQXV0b1JlbW92ZWRDb2x1bW5zMS57Y2xpZW50ZV9pZCwwfSZxdW90OywmcXVvdDtTZWN0aW9uMS9GQVRVUkFNRU5UTy9BdXRvUmVtb3ZlZENvbHVtbnMxLnttZXNfYW5vLDF9JnF1b3Q7LCZxdW90O1NlY3Rpb24xL0ZBVFVSQU1FTlRPL0F1dG9SZW1vdmVkQ29sdW1uczEue3JlY2VpdGEsMn0mcXVvdDssJnF1b3Q7U2VjdGlvbjEvRkFUVVJBTUVOVE8vQXV0b1JlbW92ZWRDb2x1bW5zMS57Y3VzdG8sM30mcXVvdDtdLCZxdW90O1JlbGF0aW9uc2hpcEluZm8mcXVvdDs6W119IiAvPjwvU3RhYmxlRW50cmllcz48L0l0ZW0+PEl0ZW0+PEl0ZW1Mb2NhdGlvbj48SXRlbVR5cGU+Rm9ybXVsYTwvSXRlbVR5cGU+PEl0ZW1QYXRoPlNlY3Rpb24xL0ZBVFVSQU1FTlRPL0ZvbnRlPC9JdGVtUGF0aD48L0l0ZW1Mb2NhdGlvbj48U3RhYmxlRW50cmllcyAvPjwvSXRlbT48SXRlbT48SXRlbUxvY2F0aW9uPjxJdGVtVHlwZT5Gb3JtdWxhPC9JdGVtVHlwZT48SXRlbVBhdGg+U2VjdGlvbjEvRkFUVVJBTUVOVE8vRkFUVVJBTUVOVE9fU2hlZXQ8L0l0ZW1QYXRoPjwvSXRlbUxvY2F0aW9uPjxTdGFibGVFbnRyaWVzIC8+PC9JdGVtPjxJdGVtPjxJdGVtTG9jYXRpb24+PEl0ZW1UeXBlPkZvcm11bGE8L0l0ZW1UeXBlPjxJdGVtUGF0aD5TZWN0aW9uMS9DSFVSTj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GaWxsZWRDb21wbGV0ZVJlc3VsdFRvV29ya3NoZWV0IiBWYWx1ZT0ibDEiIC8+PEVudHJ5IFR5cGU9IkFkZGVkVG9EYXRhTW9kZWwiIFZhbHVlPSJsMCIgLz48RW50cnkgVHlwZT0iRmlsbENvdW50IiBWYWx1ZT0ibDMwMCIgLz48RW50cnkgVHlwZT0iRmlsbEVycm9yQ29kZSIgVmFsdWU9InNVbmtub3duIiAvPjxFbnRyeSBUeXBlPSJGaWxsRXJyb3JDb3VudCIgVmFsdWU9ImwwIiAvPjxFbnRyeSBUeXBlPSJGaWxsTGFzdFVwZGF0ZWQiIFZhbHVlPSJkMjAyNS0wMi0yM1QwMDo0NjowMS4xNjY4Mzk4WiIgLz48RW50cnkgVHlwZT0iRmlsbENvbHVtblR5cGVzIiBWYWx1ZT0ic0F3a0ciIC8+PEVudHJ5IFR5cGU9IkZpbGxDb2x1bW5OYW1lcyIgVmFsdWU9InNbJnF1b3Q7Y2xpZW50ZV9pZCZxdW90OywmcXVvdDttZXNfYW5vJnF1b3Q7LCZxdW90O3N0YXR1cyZxdW90O10iIC8+PEVudHJ5IFR5cGU9IkZpbGxTdGF0dXMiIFZhbHVlPSJzQ29tcGxldGUiIC8+PEVudHJ5IFR5cGU9IlJlbGF0aW9uc2hpcEluZm9Db250YWluZXIiIFZhbHVlPSJzeyZxdW90O2NvbHVtbkNvdW50JnF1b3Q7OjMsJnF1b3Q7a2V5Q29sdW1uTmFtZXMmcXVvdDs6W10sJnF1b3Q7cXVlcnlSZWxhdGlvbnNoaXBzJnF1b3Q7OltdLCZxdW90O2NvbHVtbklkZW50aXRpZXMmcXVvdDs6WyZxdW90O1NlY3Rpb24xL0NIVVJOL0F1dG9SZW1vdmVkQ29sdW1uczEue2NsaWVudGVfaWQsMH0mcXVvdDssJnF1b3Q7U2VjdGlvbjEvQ0hVUk4vQXV0b1JlbW92ZWRDb2x1bW5zMS57bWVzX2FubywxfSZxdW90OywmcXVvdDtTZWN0aW9uMS9DSFVSTi9BdXRvUmVtb3ZlZENvbHVtbnMxLntzdGF0dXMsMn0mcXVvdDtdLCZxdW90O0NvbHVtbkNvdW50JnF1b3Q7OjMsJnF1b3Q7S2V5Q29sdW1uTmFtZXMmcXVvdDs6W10sJnF1b3Q7Q29sdW1uSWRlbnRpdGllcyZxdW90OzpbJnF1b3Q7U2VjdGlvbjEvQ0hVUk4vQXV0b1JlbW92ZWRDb2x1bW5zMS57Y2xpZW50ZV9pZCwwfSZxdW90OywmcXVvdDtTZWN0aW9uMS9DSFVSTi9BdXRvUmVtb3ZlZENvbHVtbnMxLnttZXNfYW5vLDF9JnF1b3Q7LCZxdW90O1NlY3Rpb24xL0NIVVJOL0F1dG9SZW1vdmVkQ29sdW1uczEue3N0YXR1cywyfSZxdW90O10sJnF1b3Q7UmVsYXRpb25zaGlwSW5mbyZxdW90OzpbXX0iIC8+PC9TdGFibGVFbnRyaWVzPjwvSXRlbT48SXRlbT48SXRlbUxvY2F0aW9uPjxJdGVtVHlwZT5Gb3JtdWxhPC9JdGVtVHlwZT48SXRlbVBhdGg+U2VjdGlvbjEvQ0hVUk4vRm9udGU8L0l0ZW1QYXRoPjwvSXRlbUxvY2F0aW9uPjxTdGFibGVFbnRyaWVzIC8+PC9JdGVtPjxJdGVtPjxJdGVtTG9jYXRpb24+PEl0ZW1UeXBlPkZvcm11bGE8L0l0ZW1UeXBlPjxJdGVtUGF0aD5TZWN0aW9uMS9DSFVSTi9DSFVSTl9TaGVldDwvSXRlbVBhdGg+PC9JdGVtTG9jYXRpb24+PFN0YWJsZUVudHJpZXMgLz48L0l0ZW0+PEl0ZW0+PEl0ZW1Mb2NhdGlvbj48SXRlbVR5cGU+Rm9ybXVsYTwvSXRlbVR5cGU+PEl0ZW1QYXRoPlNlY3Rpb24xL0NIVVJOL0NhYmUlQzMlQTdhbGhvcyUyMFByb21vdmlkb3M8L0l0ZW1QYXRoPjwvSXRlbUxvY2F0aW9uPjxTdGFibGVFbnRyaWVzIC8+PC9JdGVtPjxJdGVtPjxJdGVtTG9jYXRpb24+PEl0ZW1UeXBlPkZvcm11bGE8L0l0ZW1UeXBlPjxJdGVtUGF0aD5TZWN0aW9uMS9DSFVSTi9UaXBvJTIwQWx0ZXJhZG88L0l0ZW1QYXRoPjwvSXRlbUxvY2F0aW9uPjxTdGFibGVFbnRyaWVzIC8+PC9JdGVtPjxJdGVtPjxJdGVtTG9jYXRpb24+PEl0ZW1UeXBlPkZvcm11bGE8L0l0ZW1UeXBlPjxJdGVtUGF0aD5TZWN0aW9uMS9GQVRVUkFNRU5UTy9DYWJlJUMzJUE3YWxob3MlMjBQcm9tb3ZpZG9zPC9JdGVtUGF0aD48L0l0ZW1Mb2NhdGlvbj48U3RhYmxlRW50cmllcyAvPjwvSXRlbT48SXRlbT48SXRlbUxvY2F0aW9uPjxJdGVtVHlwZT5Gb3JtdWxhPC9JdGVtVHlwZT48SXRlbVBhdGg+U2VjdGlvbjEvRkFUVVJBTUVOVE8vVGlwbyUyMEFsdGVyYWRvPC9JdGVtUGF0aD48L0l0ZW1Mb2NhdGlvbj48U3RhYmxlRW50cmllcyAvPjwvSXRlbT48SXRlbT48SXRlbUxvY2F0aW9uPjxJdGVtVHlwZT5Gb3JtdWxhPC9JdGVtVHlwZT48SXRlbVBhdGg+U2VjdGlvbjEvQ0xJRU5URVMvQ2FiZSVDMyVBN2FsaG9zJTIwUHJvbW92aWRvczwvSXRlbVBhdGg+PC9JdGVtTG9jYXRpb24+PFN0YWJsZUVudHJpZXMgLz48L0l0ZW0+PEl0ZW0+PEl0ZW1Mb2NhdGlvbj48SXRlbVR5cGU+Rm9ybXVsYTwvSXRlbVR5cGU+PEl0ZW1QYXRoPlNlY3Rpb24xL0NMSUVOVEVTL1RpcG8lMjBBbHRlcmFkbzwvSXRlbVBhdGg+PC9JdGVtTG9jYXRpb24+PFN0YWJsZUVudHJpZXMgLz48L0l0ZW0+PC9JdGVtcz48L0xvY2FsUGFja2FnZU1ldGFkYXRhRmlsZT4WAAAAUEsFBgAAAAAAAAAAAAAAAAAAAAAAANoAAAABAAAA0Iyd3wEV0RGMegDAT8KX6wEAAAC0S0OZnYSkSowsjJ/9qr16AAAAAAIAAAAAAANmAADAAAAAEAAAAF5Ob1iTRyqEsunBS1aijUgAAAAABIAAAKAAAAAQAAAAh+ksvsYf1Oyf/SZCbGnRuVAAAAB55qptR+WSMJ89v2RYPhatT06buMcpvHTs3wu6/zx6eWjOZP9eRHesryA2y8mxuUFpYVQVaLhpg6bjF/HRRNYs6aqGxphHG1A5Y1NZBbfPvhQAAAB8fdJpl2CXTWi+sXH6qdjgE+US1A==</DataMashup>
</file>

<file path=customXml/itemProps1.xml><?xml version="1.0" encoding="utf-8"?>
<ds:datastoreItem xmlns:ds="http://schemas.openxmlformats.org/officeDocument/2006/customXml" ds:itemID="{B51F3E31-37E9-4203-937A-AFEEAD0F95A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27cb1b6-4159-4a38-a94b-cbd1c10c7376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2025-02-20T21:01:15Z</dcterms:created>
  <dc:creator>Isabella Viana Da Silva Bezerra</dc:creator>
  <dc:description/>
  <dc:language>pt-BR</dc:language>
  <cp:lastModifiedBy/>
  <dcterms:modified xsi:type="dcterms:W3CDTF">2025-12-26T14:44:06Z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