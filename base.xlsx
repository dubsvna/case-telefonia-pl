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0155594\Downloads\"/>
    </mc:Choice>
  </mc:AlternateContent>
  <xr:revisionPtr revIDLastSave="0" documentId="13_ncr:1_{82827FF5-1D49-46D8-8209-B11B156242E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Base Total" sheetId="11" r:id="rId1"/>
    <sheet name="Análises" sheetId="12" r:id="rId2"/>
    <sheet name="CLIENTES" sheetId="1" r:id="rId3"/>
    <sheet name="FATURAMENTO " sheetId="10" r:id="rId4"/>
    <sheet name="CHURN" sheetId="3" r:id="rId5"/>
  </sheets>
  <definedNames>
    <definedName name="_xlnm._FilterDatabase" localSheetId="0" hidden="1">'Base Total'!$B$2:$J$302</definedName>
    <definedName name="_xlnm._FilterDatabase" localSheetId="3" hidden="1">'FATURAMENTO '!$C$2:$F$302</definedName>
    <definedName name="SegmentaçãodeDados_Estado">#N/A</definedName>
    <definedName name="SegmentaçãodeDados_Segmento">#N/A</definedName>
  </definedNames>
  <calcPr calcId="191029"/>
  <pivotCaches>
    <pivotCache cacheId="28" r:id="rId6"/>
    <pivotCache cacheId="34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1" l="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" i="1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" i="3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8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" i="11"/>
  <c r="B4" i="10"/>
  <c r="B5" i="10"/>
  <c r="B6" i="10"/>
  <c r="F216" i="11" s="1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" i="10"/>
  <c r="F112" i="11" s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" i="11"/>
  <c r="F26" i="11" l="1"/>
  <c r="F104" i="11"/>
  <c r="I104" i="11" s="1"/>
  <c r="F299" i="11"/>
  <c r="I26" i="11"/>
  <c r="F194" i="11"/>
  <c r="F266" i="11"/>
  <c r="F179" i="11"/>
  <c r="F259" i="11"/>
  <c r="F59" i="11"/>
  <c r="F251" i="11"/>
  <c r="F154" i="11"/>
  <c r="F40" i="11"/>
  <c r="F195" i="11"/>
  <c r="F82" i="11"/>
  <c r="F67" i="11"/>
  <c r="F168" i="11"/>
  <c r="I216" i="11"/>
  <c r="F234" i="11"/>
  <c r="F146" i="11"/>
  <c r="I112" i="11"/>
  <c r="F298" i="11"/>
  <c r="F4" i="11"/>
  <c r="F12" i="11"/>
  <c r="F20" i="11"/>
  <c r="F28" i="11"/>
  <c r="F36" i="11"/>
  <c r="F44" i="11"/>
  <c r="F52" i="11"/>
  <c r="F60" i="11"/>
  <c r="F68" i="11"/>
  <c r="F76" i="11"/>
  <c r="F84" i="11"/>
  <c r="F92" i="11"/>
  <c r="F100" i="11"/>
  <c r="F108" i="11"/>
  <c r="F116" i="11"/>
  <c r="F124" i="11"/>
  <c r="F132" i="11"/>
  <c r="F140" i="11"/>
  <c r="F148" i="11"/>
  <c r="F156" i="11"/>
  <c r="F164" i="11"/>
  <c r="F172" i="11"/>
  <c r="F180" i="11"/>
  <c r="F188" i="11"/>
  <c r="F196" i="11"/>
  <c r="F204" i="11"/>
  <c r="F212" i="11"/>
  <c r="F220" i="11"/>
  <c r="F228" i="11"/>
  <c r="F236" i="11"/>
  <c r="F244" i="11"/>
  <c r="F252" i="11"/>
  <c r="F260" i="11"/>
  <c r="F268" i="11"/>
  <c r="F276" i="11"/>
  <c r="F284" i="11"/>
  <c r="F292" i="11"/>
  <c r="F300" i="11"/>
  <c r="F5" i="11"/>
  <c r="F13" i="11"/>
  <c r="F21" i="11"/>
  <c r="F29" i="11"/>
  <c r="F37" i="11"/>
  <c r="F45" i="11"/>
  <c r="F53" i="11"/>
  <c r="F61" i="11"/>
  <c r="F69" i="11"/>
  <c r="F77" i="11"/>
  <c r="F85" i="11"/>
  <c r="F93" i="11"/>
  <c r="F101" i="11"/>
  <c r="F109" i="11"/>
  <c r="F117" i="11"/>
  <c r="F125" i="11"/>
  <c r="F133" i="11"/>
  <c r="F141" i="11"/>
  <c r="F149" i="11"/>
  <c r="F157" i="11"/>
  <c r="F165" i="11"/>
  <c r="F173" i="11"/>
  <c r="F181" i="11"/>
  <c r="F189" i="11"/>
  <c r="F197" i="11"/>
  <c r="F205" i="11"/>
  <c r="F213" i="11"/>
  <c r="F221" i="11"/>
  <c r="F229" i="11"/>
  <c r="F237" i="11"/>
  <c r="F245" i="11"/>
  <c r="F253" i="11"/>
  <c r="F261" i="11"/>
  <c r="F269" i="11"/>
  <c r="F277" i="11"/>
  <c r="F285" i="11"/>
  <c r="F293" i="11"/>
  <c r="F301" i="11"/>
  <c r="F6" i="11"/>
  <c r="F14" i="11"/>
  <c r="F22" i="11"/>
  <c r="F30" i="11"/>
  <c r="F38" i="11"/>
  <c r="F46" i="11"/>
  <c r="F54" i="11"/>
  <c r="F62" i="11"/>
  <c r="F70" i="11"/>
  <c r="F78" i="11"/>
  <c r="F86" i="11"/>
  <c r="F94" i="11"/>
  <c r="F102" i="11"/>
  <c r="F110" i="11"/>
  <c r="F118" i="11"/>
  <c r="F126" i="11"/>
  <c r="F134" i="11"/>
  <c r="F142" i="11"/>
  <c r="F150" i="11"/>
  <c r="F158" i="11"/>
  <c r="F166" i="11"/>
  <c r="F174" i="11"/>
  <c r="F182" i="11"/>
  <c r="F190" i="11"/>
  <c r="F198" i="11"/>
  <c r="F206" i="11"/>
  <c r="F214" i="11"/>
  <c r="F222" i="11"/>
  <c r="F230" i="11"/>
  <c r="F238" i="11"/>
  <c r="F246" i="11"/>
  <c r="F254" i="11"/>
  <c r="F262" i="11"/>
  <c r="F270" i="11"/>
  <c r="F278" i="11"/>
  <c r="F286" i="11"/>
  <c r="F294" i="11"/>
  <c r="F302" i="11"/>
  <c r="F7" i="11"/>
  <c r="F15" i="11"/>
  <c r="F23" i="11"/>
  <c r="F31" i="11"/>
  <c r="F39" i="11"/>
  <c r="F47" i="11"/>
  <c r="F55" i="11"/>
  <c r="F63" i="11"/>
  <c r="F71" i="11"/>
  <c r="F79" i="11"/>
  <c r="F87" i="11"/>
  <c r="F95" i="11"/>
  <c r="F103" i="11"/>
  <c r="F111" i="11"/>
  <c r="F119" i="11"/>
  <c r="F127" i="11"/>
  <c r="F135" i="11"/>
  <c r="F143" i="11"/>
  <c r="F151" i="11"/>
  <c r="F159" i="11"/>
  <c r="F167" i="11"/>
  <c r="F175" i="11"/>
  <c r="F183" i="11"/>
  <c r="F191" i="11"/>
  <c r="F199" i="11"/>
  <c r="F207" i="11"/>
  <c r="F215" i="11"/>
  <c r="F223" i="11"/>
  <c r="F231" i="11"/>
  <c r="F239" i="11"/>
  <c r="F247" i="11"/>
  <c r="F255" i="11"/>
  <c r="F263" i="11"/>
  <c r="F271" i="11"/>
  <c r="F279" i="11"/>
  <c r="F287" i="11"/>
  <c r="F295" i="11"/>
  <c r="F3" i="11"/>
  <c r="F9" i="11"/>
  <c r="F17" i="11"/>
  <c r="F25" i="11"/>
  <c r="F33" i="11"/>
  <c r="F41" i="11"/>
  <c r="F49" i="11"/>
  <c r="F57" i="11"/>
  <c r="F65" i="11"/>
  <c r="F73" i="11"/>
  <c r="F81" i="11"/>
  <c r="F89" i="11"/>
  <c r="F97" i="11"/>
  <c r="F105" i="11"/>
  <c r="F113" i="11"/>
  <c r="F121" i="11"/>
  <c r="F129" i="11"/>
  <c r="F137" i="11"/>
  <c r="F145" i="11"/>
  <c r="F153" i="11"/>
  <c r="F161" i="11"/>
  <c r="F169" i="11"/>
  <c r="F177" i="11"/>
  <c r="F185" i="11"/>
  <c r="F193" i="11"/>
  <c r="F201" i="11"/>
  <c r="F209" i="11"/>
  <c r="F217" i="11"/>
  <c r="F225" i="11"/>
  <c r="F233" i="11"/>
  <c r="F241" i="11"/>
  <c r="F249" i="11"/>
  <c r="F257" i="11"/>
  <c r="F265" i="11"/>
  <c r="F273" i="11"/>
  <c r="F281" i="11"/>
  <c r="F289" i="11"/>
  <c r="F297" i="11"/>
  <c r="F8" i="11"/>
  <c r="F27" i="11"/>
  <c r="F50" i="11"/>
  <c r="F72" i="11"/>
  <c r="F91" i="11"/>
  <c r="F114" i="11"/>
  <c r="F136" i="11"/>
  <c r="F155" i="11"/>
  <c r="F178" i="11"/>
  <c r="F200" i="11"/>
  <c r="F219" i="11"/>
  <c r="F242" i="11"/>
  <c r="F264" i="11"/>
  <c r="F283" i="11"/>
  <c r="F10" i="11"/>
  <c r="F32" i="11"/>
  <c r="F51" i="11"/>
  <c r="F74" i="11"/>
  <c r="F96" i="11"/>
  <c r="F115" i="11"/>
  <c r="F138" i="11"/>
  <c r="F160" i="11"/>
  <c r="F11" i="11"/>
  <c r="F34" i="11"/>
  <c r="F56" i="11"/>
  <c r="F75" i="11"/>
  <c r="F98" i="11"/>
  <c r="F120" i="11"/>
  <c r="F139" i="11"/>
  <c r="F162" i="11"/>
  <c r="F184" i="11"/>
  <c r="F203" i="11"/>
  <c r="F226" i="11"/>
  <c r="F248" i="11"/>
  <c r="F267" i="11"/>
  <c r="F290" i="11"/>
  <c r="F16" i="11"/>
  <c r="F35" i="11"/>
  <c r="F58" i="11"/>
  <c r="F80" i="11"/>
  <c r="F99" i="11"/>
  <c r="F122" i="11"/>
  <c r="F144" i="11"/>
  <c r="F163" i="11"/>
  <c r="F186" i="11"/>
  <c r="F208" i="11"/>
  <c r="F227" i="11"/>
  <c r="F250" i="11"/>
  <c r="F272" i="11"/>
  <c r="F291" i="11"/>
  <c r="F19" i="11"/>
  <c r="F64" i="11"/>
  <c r="F106" i="11"/>
  <c r="F147" i="11"/>
  <c r="F187" i="11"/>
  <c r="F218" i="11"/>
  <c r="F256" i="11"/>
  <c r="F288" i="11"/>
  <c r="F24" i="11"/>
  <c r="F66" i="11"/>
  <c r="F107" i="11"/>
  <c r="F152" i="11"/>
  <c r="F192" i="11"/>
  <c r="F224" i="11"/>
  <c r="F258" i="11"/>
  <c r="F296" i="11"/>
  <c r="F42" i="11"/>
  <c r="F83" i="11"/>
  <c r="F128" i="11"/>
  <c r="F170" i="11"/>
  <c r="F202" i="11"/>
  <c r="F235" i="11"/>
  <c r="F274" i="11"/>
  <c r="F43" i="11"/>
  <c r="F88" i="11"/>
  <c r="F130" i="11"/>
  <c r="F171" i="11"/>
  <c r="F210" i="11"/>
  <c r="F240" i="11"/>
  <c r="F275" i="11"/>
  <c r="F48" i="11"/>
  <c r="F90" i="11"/>
  <c r="F131" i="11"/>
  <c r="F176" i="11"/>
  <c r="F211" i="11"/>
  <c r="F243" i="11"/>
  <c r="F280" i="11"/>
  <c r="F282" i="11"/>
  <c r="F232" i="11"/>
  <c r="F123" i="11"/>
  <c r="F18" i="11"/>
  <c r="I227" i="11"/>
  <c r="I147" i="11"/>
  <c r="J148" i="11" s="1"/>
  <c r="I59" i="11"/>
  <c r="I299" i="11"/>
  <c r="I283" i="11"/>
  <c r="I251" i="11"/>
  <c r="I235" i="11"/>
  <c r="I203" i="11"/>
  <c r="I187" i="11"/>
  <c r="I155" i="11"/>
  <c r="I67" i="11"/>
  <c r="I282" i="11"/>
  <c r="T5" i="12"/>
  <c r="S3" i="12"/>
  <c r="T3" i="12"/>
  <c r="S4" i="12"/>
  <c r="T4" i="12"/>
  <c r="S5" i="12"/>
  <c r="J152" i="11"/>
  <c r="U3" i="12" l="1"/>
  <c r="U5" i="12"/>
  <c r="I266" i="11"/>
  <c r="I35" i="11"/>
  <c r="I243" i="11"/>
  <c r="I274" i="11"/>
  <c r="I195" i="11"/>
  <c r="J197" i="11" s="1"/>
  <c r="I291" i="11"/>
  <c r="J294" i="11" s="1"/>
  <c r="I51" i="11"/>
  <c r="J54" i="11" s="1"/>
  <c r="I275" i="11"/>
  <c r="I11" i="11"/>
  <c r="J248" i="11"/>
  <c r="I43" i="11"/>
  <c r="I211" i="11"/>
  <c r="I186" i="11"/>
  <c r="I138" i="11"/>
  <c r="I91" i="11"/>
  <c r="I209" i="11"/>
  <c r="I255" i="11"/>
  <c r="I127" i="11"/>
  <c r="I63" i="11"/>
  <c r="I174" i="11"/>
  <c r="I46" i="11"/>
  <c r="I221" i="11"/>
  <c r="I268" i="11"/>
  <c r="I140" i="11"/>
  <c r="I168" i="11"/>
  <c r="I66" i="11"/>
  <c r="I120" i="11"/>
  <c r="I115" i="11"/>
  <c r="I265" i="11"/>
  <c r="I247" i="11"/>
  <c r="I294" i="11"/>
  <c r="I230" i="11"/>
  <c r="I277" i="11"/>
  <c r="I149" i="11"/>
  <c r="I85" i="11"/>
  <c r="I21" i="11"/>
  <c r="I132" i="11"/>
  <c r="I179" i="11"/>
  <c r="I128" i="11"/>
  <c r="I106" i="11"/>
  <c r="I264" i="11"/>
  <c r="I145" i="11"/>
  <c r="I191" i="11"/>
  <c r="I238" i="11"/>
  <c r="I285" i="11"/>
  <c r="I204" i="11"/>
  <c r="I76" i="11"/>
  <c r="I259" i="11"/>
  <c r="I176" i="11"/>
  <c r="I83" i="11"/>
  <c r="I64" i="11"/>
  <c r="I242" i="11"/>
  <c r="I201" i="11"/>
  <c r="I73" i="11"/>
  <c r="I183" i="11"/>
  <c r="I55" i="11"/>
  <c r="I166" i="11"/>
  <c r="I163" i="11"/>
  <c r="I107" i="11"/>
  <c r="I16" i="11"/>
  <c r="I139" i="11"/>
  <c r="I273" i="11"/>
  <c r="I81" i="11"/>
  <c r="I17" i="11"/>
  <c r="I302" i="11"/>
  <c r="I110" i="11"/>
  <c r="I157" i="11"/>
  <c r="I93" i="11"/>
  <c r="I29" i="11"/>
  <c r="I12" i="11"/>
  <c r="I171" i="11"/>
  <c r="I130" i="11"/>
  <c r="I290" i="11"/>
  <c r="I72" i="11"/>
  <c r="I137" i="11"/>
  <c r="I9" i="11"/>
  <c r="I119" i="11"/>
  <c r="I102" i="11"/>
  <c r="I38" i="11"/>
  <c r="I213" i="11"/>
  <c r="I260" i="11"/>
  <c r="I196" i="11"/>
  <c r="I68" i="11"/>
  <c r="I4" i="11"/>
  <c r="J150" i="11"/>
  <c r="J151" i="11"/>
  <c r="J147" i="11"/>
  <c r="J149" i="11"/>
  <c r="J52" i="11"/>
  <c r="I42" i="11"/>
  <c r="I98" i="11"/>
  <c r="I257" i="11"/>
  <c r="I65" i="11"/>
  <c r="I3" i="11"/>
  <c r="I13" i="11"/>
  <c r="I90" i="11"/>
  <c r="I288" i="11"/>
  <c r="I122" i="11"/>
  <c r="I249" i="11"/>
  <c r="I295" i="11"/>
  <c r="I103" i="11"/>
  <c r="I150" i="11"/>
  <c r="I261" i="11"/>
  <c r="I133" i="11"/>
  <c r="I69" i="11"/>
  <c r="I5" i="11"/>
  <c r="I116" i="11"/>
  <c r="I52" i="11"/>
  <c r="I232" i="11"/>
  <c r="I258" i="11"/>
  <c r="I272" i="11"/>
  <c r="I56" i="11"/>
  <c r="I178" i="11"/>
  <c r="I8" i="11"/>
  <c r="I113" i="11"/>
  <c r="I287" i="11"/>
  <c r="I159" i="11"/>
  <c r="I95" i="11"/>
  <c r="I31" i="11"/>
  <c r="I206" i="11"/>
  <c r="I253" i="11"/>
  <c r="I125" i="11"/>
  <c r="I300" i="11"/>
  <c r="I236" i="11"/>
  <c r="I172" i="11"/>
  <c r="I108" i="11"/>
  <c r="I44" i="11"/>
  <c r="I40" i="11"/>
  <c r="I19" i="11"/>
  <c r="I123" i="11"/>
  <c r="I99" i="11"/>
  <c r="I224" i="11"/>
  <c r="I218" i="11"/>
  <c r="I250" i="11"/>
  <c r="I80" i="11"/>
  <c r="I34" i="11"/>
  <c r="I32" i="11"/>
  <c r="I297" i="11"/>
  <c r="I233" i="11"/>
  <c r="I169" i="11"/>
  <c r="I105" i="11"/>
  <c r="I41" i="11"/>
  <c r="I279" i="11"/>
  <c r="I215" i="11"/>
  <c r="I151" i="11"/>
  <c r="I87" i="11"/>
  <c r="I23" i="11"/>
  <c r="I262" i="11"/>
  <c r="I198" i="11"/>
  <c r="I134" i="11"/>
  <c r="I70" i="11"/>
  <c r="I6" i="11"/>
  <c r="I245" i="11"/>
  <c r="I181" i="11"/>
  <c r="I117" i="11"/>
  <c r="I53" i="11"/>
  <c r="I292" i="11"/>
  <c r="I228" i="11"/>
  <c r="I164" i="11"/>
  <c r="I100" i="11"/>
  <c r="I36" i="11"/>
  <c r="I146" i="11"/>
  <c r="I154" i="11"/>
  <c r="I18" i="11"/>
  <c r="I88" i="11"/>
  <c r="I144" i="11"/>
  <c r="I96" i="11"/>
  <c r="I193" i="11"/>
  <c r="I239" i="11"/>
  <c r="I111" i="11"/>
  <c r="I47" i="11"/>
  <c r="I222" i="11"/>
  <c r="I30" i="11"/>
  <c r="I269" i="11"/>
  <c r="I205" i="11"/>
  <c r="I77" i="11"/>
  <c r="I252" i="11"/>
  <c r="I188" i="11"/>
  <c r="I124" i="11"/>
  <c r="I60" i="11"/>
  <c r="I296" i="11"/>
  <c r="I248" i="11"/>
  <c r="I74" i="11"/>
  <c r="I121" i="11"/>
  <c r="I231" i="11"/>
  <c r="I278" i="11"/>
  <c r="I86" i="11"/>
  <c r="I22" i="11"/>
  <c r="I244" i="11"/>
  <c r="I48" i="11"/>
  <c r="I256" i="11"/>
  <c r="I177" i="11"/>
  <c r="I49" i="11"/>
  <c r="I78" i="11"/>
  <c r="I27" i="11"/>
  <c r="I267" i="11"/>
  <c r="I280" i="11"/>
  <c r="I240" i="11"/>
  <c r="I202" i="11"/>
  <c r="I192" i="11"/>
  <c r="I58" i="11"/>
  <c r="I184" i="11"/>
  <c r="I10" i="11"/>
  <c r="I136" i="11"/>
  <c r="I289" i="11"/>
  <c r="I225" i="11"/>
  <c r="I161" i="11"/>
  <c r="I97" i="11"/>
  <c r="I33" i="11"/>
  <c r="I271" i="11"/>
  <c r="I207" i="11"/>
  <c r="I143" i="11"/>
  <c r="I79" i="11"/>
  <c r="I15" i="11"/>
  <c r="I254" i="11"/>
  <c r="I190" i="11"/>
  <c r="I126" i="11"/>
  <c r="I62" i="11"/>
  <c r="I301" i="11"/>
  <c r="I237" i="11"/>
  <c r="I173" i="11"/>
  <c r="I109" i="11"/>
  <c r="I45" i="11"/>
  <c r="I284" i="11"/>
  <c r="I220" i="11"/>
  <c r="I156" i="11"/>
  <c r="I92" i="11"/>
  <c r="I28" i="11"/>
  <c r="I234" i="11"/>
  <c r="I24" i="11"/>
  <c r="I50" i="11"/>
  <c r="I129" i="11"/>
  <c r="I175" i="11"/>
  <c r="I286" i="11"/>
  <c r="I158" i="11"/>
  <c r="I94" i="11"/>
  <c r="I141" i="11"/>
  <c r="I82" i="11"/>
  <c r="I219" i="11"/>
  <c r="J220" i="11" s="1"/>
  <c r="I200" i="11"/>
  <c r="I185" i="11"/>
  <c r="I57" i="11"/>
  <c r="I167" i="11"/>
  <c r="I39" i="11"/>
  <c r="I214" i="11"/>
  <c r="I197" i="11"/>
  <c r="I180" i="11"/>
  <c r="I194" i="11"/>
  <c r="I298" i="11"/>
  <c r="I75" i="11"/>
  <c r="I226" i="11"/>
  <c r="I241" i="11"/>
  <c r="I223" i="11"/>
  <c r="I270" i="11"/>
  <c r="I142" i="11"/>
  <c r="I14" i="11"/>
  <c r="I189" i="11"/>
  <c r="I61" i="11"/>
  <c r="I131" i="11"/>
  <c r="I210" i="11"/>
  <c r="I170" i="11"/>
  <c r="I152" i="11"/>
  <c r="I208" i="11"/>
  <c r="I162" i="11"/>
  <c r="I160" i="11"/>
  <c r="I114" i="11"/>
  <c r="I281" i="11"/>
  <c r="I217" i="11"/>
  <c r="I153" i="11"/>
  <c r="I89" i="11"/>
  <c r="I25" i="11"/>
  <c r="I263" i="11"/>
  <c r="I199" i="11"/>
  <c r="I135" i="11"/>
  <c r="I71" i="11"/>
  <c r="I7" i="11"/>
  <c r="I246" i="11"/>
  <c r="I182" i="11"/>
  <c r="I118" i="11"/>
  <c r="I54" i="11"/>
  <c r="I293" i="11"/>
  <c r="I229" i="11"/>
  <c r="I165" i="11"/>
  <c r="I101" i="11"/>
  <c r="I37" i="11"/>
  <c r="I276" i="11"/>
  <c r="I212" i="11"/>
  <c r="I148" i="11"/>
  <c r="I84" i="11"/>
  <c r="I20" i="11"/>
  <c r="J199" i="11"/>
  <c r="J200" i="11"/>
  <c r="J196" i="11"/>
  <c r="J55" i="11"/>
  <c r="J219" i="11"/>
  <c r="U4" i="12"/>
  <c r="J53" i="11" l="1"/>
  <c r="J291" i="11"/>
  <c r="J293" i="11"/>
  <c r="J246" i="11"/>
  <c r="J244" i="11"/>
  <c r="J245" i="11"/>
  <c r="J243" i="11"/>
  <c r="J247" i="11"/>
  <c r="J292" i="11"/>
  <c r="J296" i="11"/>
  <c r="J51" i="11"/>
  <c r="J295" i="11"/>
  <c r="J56" i="11"/>
  <c r="J198" i="11"/>
  <c r="J195" i="11"/>
  <c r="J66" i="11"/>
  <c r="J68" i="11"/>
  <c r="J63" i="11"/>
  <c r="J65" i="11"/>
  <c r="J64" i="11"/>
  <c r="J67" i="11"/>
  <c r="J134" i="11"/>
  <c r="J130" i="11"/>
  <c r="J132" i="11"/>
  <c r="J133" i="11"/>
  <c r="J129" i="11"/>
  <c r="J131" i="11"/>
  <c r="J270" i="11"/>
  <c r="J272" i="11"/>
  <c r="J269" i="11"/>
  <c r="J271" i="11"/>
  <c r="J268" i="11"/>
  <c r="J267" i="11"/>
  <c r="J282" i="11"/>
  <c r="J281" i="11"/>
  <c r="J283" i="11"/>
  <c r="J284" i="11"/>
  <c r="J279" i="11"/>
  <c r="J280" i="11"/>
  <c r="J101" i="11"/>
  <c r="J102" i="11"/>
  <c r="J104" i="11"/>
  <c r="J99" i="11"/>
  <c r="J103" i="11"/>
  <c r="J100" i="11"/>
  <c r="J93" i="11"/>
  <c r="J95" i="11"/>
  <c r="J97" i="11"/>
  <c r="J94" i="11"/>
  <c r="J96" i="11"/>
  <c r="J98" i="11"/>
  <c r="J21" i="11"/>
  <c r="J24" i="11"/>
  <c r="J25" i="11"/>
  <c r="J23" i="11"/>
  <c r="J22" i="11"/>
  <c r="J26" i="11"/>
  <c r="J77" i="11"/>
  <c r="J78" i="11"/>
  <c r="J80" i="11"/>
  <c r="J75" i="11"/>
  <c r="J258" i="11"/>
  <c r="J256" i="11"/>
  <c r="J260" i="11"/>
  <c r="J255" i="11"/>
  <c r="J259" i="11"/>
  <c r="J257" i="11"/>
  <c r="J142" i="11"/>
  <c r="J143" i="11"/>
  <c r="J146" i="11"/>
  <c r="J141" i="11"/>
  <c r="J144" i="11"/>
  <c r="J145" i="11"/>
  <c r="J6" i="11"/>
  <c r="J8" i="11"/>
  <c r="J7" i="11"/>
  <c r="J3" i="11"/>
  <c r="J5" i="11"/>
  <c r="J4" i="11"/>
  <c r="J238" i="11"/>
  <c r="J239" i="11"/>
  <c r="J240" i="11"/>
  <c r="J242" i="11"/>
  <c r="J241" i="11"/>
  <c r="J237" i="11"/>
  <c r="J117" i="11"/>
  <c r="J118" i="11"/>
  <c r="J121" i="11"/>
  <c r="J120" i="11"/>
  <c r="J119" i="11"/>
  <c r="J122" i="11"/>
  <c r="J126" i="11"/>
  <c r="J125" i="11"/>
  <c r="J128" i="11"/>
  <c r="J124" i="11"/>
  <c r="J127" i="11"/>
  <c r="J123" i="11"/>
  <c r="J164" i="11"/>
  <c r="J160" i="11"/>
  <c r="J161" i="11"/>
  <c r="J159" i="11"/>
  <c r="J163" i="11"/>
  <c r="J162" i="11"/>
  <c r="J69" i="11"/>
  <c r="J72" i="11"/>
  <c r="J74" i="11"/>
  <c r="J71" i="11"/>
  <c r="J70" i="11"/>
  <c r="J73" i="11"/>
  <c r="J79" i="11"/>
  <c r="J45" i="11"/>
  <c r="J46" i="11"/>
  <c r="J47" i="11"/>
  <c r="J48" i="11"/>
  <c r="J49" i="11"/>
  <c r="J50" i="11"/>
  <c r="J92" i="11"/>
  <c r="J88" i="11"/>
  <c r="J89" i="11"/>
  <c r="J90" i="11"/>
  <c r="J91" i="11"/>
  <c r="J87" i="11"/>
  <c r="J302" i="11"/>
  <c r="J298" i="11"/>
  <c r="J297" i="11"/>
  <c r="J299" i="11"/>
  <c r="J300" i="11"/>
  <c r="J301" i="11"/>
  <c r="J85" i="11"/>
  <c r="J83" i="11"/>
  <c r="J84" i="11"/>
  <c r="J86" i="11"/>
  <c r="J82" i="11"/>
  <c r="J81" i="11"/>
  <c r="J186" i="11"/>
  <c r="J183" i="11"/>
  <c r="J184" i="11"/>
  <c r="J188" i="11"/>
  <c r="J185" i="11"/>
  <c r="J187" i="11"/>
  <c r="J158" i="11"/>
  <c r="J156" i="11"/>
  <c r="J153" i="11"/>
  <c r="J157" i="11"/>
  <c r="J155" i="11"/>
  <c r="J154" i="11"/>
  <c r="J222" i="11"/>
  <c r="J221" i="11"/>
  <c r="J224" i="11"/>
  <c r="J174" i="11"/>
  <c r="J175" i="11"/>
  <c r="J172" i="11"/>
  <c r="J171" i="11"/>
  <c r="J176" i="11"/>
  <c r="J173" i="11"/>
  <c r="J223" i="11"/>
  <c r="J18" i="11"/>
  <c r="J19" i="11"/>
  <c r="J16" i="11"/>
  <c r="J20" i="11"/>
  <c r="J15" i="11"/>
  <c r="J17" i="11"/>
  <c r="J230" i="11"/>
  <c r="J225" i="11"/>
  <c r="J227" i="11"/>
  <c r="J229" i="11"/>
  <c r="J226" i="11"/>
  <c r="J228" i="11"/>
  <c r="J236" i="11"/>
  <c r="J232" i="11"/>
  <c r="J231" i="11"/>
  <c r="J233" i="11"/>
  <c r="J235" i="11"/>
  <c r="J234" i="11"/>
  <c r="J109" i="11"/>
  <c r="J110" i="11"/>
  <c r="J105" i="11"/>
  <c r="J107" i="11"/>
  <c r="J108" i="11"/>
  <c r="J106" i="11"/>
  <c r="J278" i="11"/>
  <c r="J274" i="11"/>
  <c r="J276" i="11"/>
  <c r="J277" i="11"/>
  <c r="J275" i="11"/>
  <c r="J273" i="11"/>
  <c r="J76" i="11"/>
  <c r="J190" i="11"/>
  <c r="J191" i="11"/>
  <c r="J189" i="11"/>
  <c r="J194" i="11"/>
  <c r="J192" i="11"/>
  <c r="J193" i="11"/>
  <c r="J44" i="11"/>
  <c r="J39" i="11"/>
  <c r="J43" i="11"/>
  <c r="J41" i="11"/>
  <c r="J42" i="11"/>
  <c r="J40" i="11"/>
  <c r="J29" i="11"/>
  <c r="J27" i="11"/>
  <c r="J32" i="11"/>
  <c r="J30" i="11"/>
  <c r="J31" i="11"/>
  <c r="J28" i="11"/>
  <c r="J214" i="11"/>
  <c r="J217" i="11"/>
  <c r="J213" i="11"/>
  <c r="J218" i="11"/>
  <c r="J215" i="11"/>
  <c r="J216" i="11"/>
  <c r="J13" i="11"/>
  <c r="J12" i="11"/>
  <c r="J14" i="11"/>
  <c r="J11" i="11"/>
  <c r="J10" i="11"/>
  <c r="J9" i="11"/>
  <c r="J210" i="11"/>
  <c r="J211" i="11"/>
  <c r="J207" i="11"/>
  <c r="J208" i="11"/>
  <c r="J212" i="11"/>
  <c r="J209" i="11"/>
  <c r="J116" i="11"/>
  <c r="J114" i="11"/>
  <c r="J112" i="11"/>
  <c r="J111" i="11"/>
  <c r="J113" i="11"/>
  <c r="J115" i="11"/>
  <c r="J61" i="11"/>
  <c r="J60" i="11"/>
  <c r="J62" i="11"/>
  <c r="J58" i="11"/>
  <c r="J57" i="11"/>
  <c r="J59" i="11"/>
  <c r="J262" i="11"/>
  <c r="J261" i="11"/>
  <c r="J264" i="11"/>
  <c r="J266" i="11"/>
  <c r="J263" i="11"/>
  <c r="J265" i="11"/>
  <c r="J254" i="11"/>
  <c r="J252" i="11"/>
  <c r="J249" i="11"/>
  <c r="J251" i="11"/>
  <c r="J250" i="11"/>
  <c r="J253" i="11"/>
  <c r="J140" i="11"/>
  <c r="J135" i="11"/>
  <c r="J136" i="11"/>
  <c r="J138" i="11"/>
  <c r="J139" i="11"/>
  <c r="J137" i="11"/>
  <c r="J166" i="11"/>
  <c r="J168" i="11"/>
  <c r="J170" i="11"/>
  <c r="J169" i="11"/>
  <c r="J167" i="11"/>
  <c r="J165" i="11"/>
  <c r="J37" i="11"/>
  <c r="J33" i="11"/>
  <c r="J36" i="11"/>
  <c r="J35" i="11"/>
  <c r="J38" i="11"/>
  <c r="J34" i="11"/>
  <c r="J182" i="11"/>
  <c r="J177" i="11"/>
  <c r="J179" i="11"/>
  <c r="J180" i="11"/>
  <c r="J181" i="11"/>
  <c r="J178" i="11"/>
  <c r="J206" i="11"/>
  <c r="J205" i="11"/>
  <c r="J202" i="11"/>
  <c r="J204" i="11"/>
  <c r="J201" i="11"/>
  <c r="J203" i="11"/>
  <c r="J286" i="11"/>
  <c r="J290" i="11"/>
  <c r="J289" i="11"/>
  <c r="J285" i="11"/>
  <c r="J287" i="11"/>
  <c r="J28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872980-714C-4A13-BD89-5B8493F333A2}" keepAlive="1" name="Consulta - CHURN" description="Conexão com a consulta 'CHURN' na pasta de trabalho." type="5" refreshedVersion="8" background="1" saveData="1">
    <dbPr connection="Provider=Microsoft.Mashup.OleDb.1;Data Source=$Workbook$;Location=CHURN;Extended Properties=&quot;&quot;" command="SELECT * FROM [CHURN]"/>
  </connection>
  <connection id="2" xr16:uid="{81A57328-5319-47B2-9CAE-0CAC10185CF9}" keepAlive="1" name="Consulta - CLIENTES" description="Conexão com a consulta 'CLIENTES' na pasta de trabalho." type="5" refreshedVersion="0" background="1">
    <dbPr connection="Provider=Microsoft.Mashup.OleDb.1;Data Source=$Workbook$;Location=CLIENTES;Extended Properties=&quot;&quot;" command="SELECT * FROM [CLIENTES]"/>
  </connection>
  <connection id="3" xr16:uid="{35E3CEE0-6477-48AA-A0C8-170DC70A976D}" keepAlive="1" name="Consulta - FATURAMENTO" description="Conexão com a consulta 'FATURAMENTO' na pasta de trabalho." type="5" refreshedVersion="0" background="1">
    <dbPr connection="Provider=Microsoft.Mashup.OleDb.1;Data Source=$Workbook$;Location=FATURAMENTO;Extended Properties=&quot;&quot;" command="SELECT * FROM [FATURAMENTO]"/>
  </connection>
</connections>
</file>

<file path=xl/sharedStrings.xml><?xml version="1.0" encoding="utf-8"?>
<sst xmlns="http://schemas.openxmlformats.org/spreadsheetml/2006/main" count="2382" uniqueCount="101">
  <si>
    <t>cliente_id</t>
  </si>
  <si>
    <t>Média</t>
  </si>
  <si>
    <t>Grande</t>
  </si>
  <si>
    <t>Pequena</t>
  </si>
  <si>
    <t>mes_ano</t>
  </si>
  <si>
    <t>receita</t>
  </si>
  <si>
    <t>2024-12</t>
  </si>
  <si>
    <t>status</t>
  </si>
  <si>
    <t>Cancelado</t>
  </si>
  <si>
    <t>Ativo</t>
  </si>
  <si>
    <t>Estado</t>
  </si>
  <si>
    <t>Segmento</t>
  </si>
  <si>
    <t>Cliente_id</t>
  </si>
  <si>
    <t>R$ Custo</t>
  </si>
  <si>
    <t>R$ Receita</t>
  </si>
  <si>
    <t>mês_ano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</si>
  <si>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</si>
  <si>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</si>
  <si>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</si>
  <si>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</si>
  <si>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</si>
  <si>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</si>
  <si>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</si>
  <si>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</si>
  <si>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</si>
  <si>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</si>
  <si>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</si>
  <si>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</si>
  <si>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</si>
  <si>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</si>
  <si>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</si>
  <si>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</si>
  <si>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</si>
  <si>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</si>
  <si>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</si>
  <si>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</si>
  <si>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</si>
  <si>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</si>
  <si>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X</t>
  </si>
  <si>
    <t>W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</si>
  <si>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</si>
  <si>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</si>
  <si>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</si>
  <si>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</si>
  <si>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</si>
  <si>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</si>
  <si>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</si>
  <si>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</si>
  <si>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</si>
  <si>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</si>
  <si>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</si>
  <si>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</si>
  <si>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</si>
  <si>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</si>
  <si>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</si>
  <si>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</si>
  <si>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</si>
  <si>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</si>
  <si>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</si>
  <si>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AR</t>
  </si>
  <si>
    <t>AS</t>
  </si>
  <si>
    <t>AT</t>
  </si>
  <si>
    <t>AU</t>
  </si>
  <si>
    <t>AV</t>
  </si>
  <si>
    <t>AX</t>
  </si>
  <si>
    <t>AW</t>
  </si>
  <si>
    <t>2025-01</t>
  </si>
  <si>
    <t>2025-02</t>
  </si>
  <si>
    <t>2025-04</t>
  </si>
  <si>
    <t>2025-05</t>
  </si>
  <si>
    <t>Cliente</t>
  </si>
  <si>
    <t>Mês_Ano</t>
  </si>
  <si>
    <t>Status</t>
  </si>
  <si>
    <t>Rótulos de Linha</t>
  </si>
  <si>
    <t>Total Geral</t>
  </si>
  <si>
    <t>Rótulos de Coluna</t>
  </si>
  <si>
    <t>(Tudo)</t>
  </si>
  <si>
    <t>Soma de R$ Receita</t>
  </si>
  <si>
    <t>Margem Bruta Mês</t>
  </si>
  <si>
    <t>Clientes Margem Bruta</t>
  </si>
  <si>
    <t>Base</t>
  </si>
  <si>
    <t>Cancelados</t>
  </si>
  <si>
    <t>Churn%</t>
  </si>
  <si>
    <t xml:space="preserve">Mês </t>
  </si>
  <si>
    <t>Faturamento Mensal - Segmento - Estado</t>
  </si>
  <si>
    <t>Top 10 - Clientes - Faturamento</t>
  </si>
  <si>
    <t>Soma de Margem Bruta Mês</t>
  </si>
  <si>
    <t>Margem  Bruta/Cliente - Mês</t>
  </si>
  <si>
    <t>2025-03</t>
  </si>
  <si>
    <t>Taxa de Churn</t>
  </si>
  <si>
    <t>Concatenar</t>
  </si>
  <si>
    <t>Rio de Janeiro</t>
  </si>
  <si>
    <t>Distrito Federal</t>
  </si>
  <si>
    <t>São Paulo</t>
  </si>
  <si>
    <t>Ceará</t>
  </si>
  <si>
    <t>Minas Gerais</t>
  </si>
  <si>
    <t>Pernambuco</t>
  </si>
  <si>
    <t>Bahia</t>
  </si>
  <si>
    <t>Santa Catarina</t>
  </si>
  <si>
    <t>Rio Grande do Sul</t>
  </si>
  <si>
    <t>Paraná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</si>
</sst>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7"/>
      </right>
      <top style="thin">
        <color theme="7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2" applyFont="1"/>
    <xf numFmtId="10" fontId="0" fillId="0" borderId="0" xfId="2" applyNumberFormat="1" applyFont="1"/>
    <xf numFmtId="43" fontId="1" fillId="0" borderId="1" xfId="1" applyFont="1" applyBorder="1" applyAlignment="1">
      <alignment horizontal="center" vertical="top"/>
    </xf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4" fillId="2" borderId="0" xfId="0" applyFont="1" applyFill="1" applyAlignment="1">
      <alignment horizontal="center"/>
    </xf>
    <xf numFmtId="9" fontId="0" fillId="0" borderId="0" xfId="2" applyFont="1" applyAlignment="1">
      <alignment horizontal="center"/>
    </xf>
    <xf numFmtId="0" fontId="0" fillId="0" borderId="2" xfId="0" applyBorder="1" applyAlignment="1">
      <alignment horizontal="center"/>
    </xf>
    <xf numFmtId="44" fontId="0" fillId="0" borderId="0" xfId="3" applyFont="1" applyAlignment="1">
      <alignment horizontal="center"/>
    </xf>
    <xf numFmtId="0" fontId="0" fillId="0" borderId="0" xfId="0" quotePrefix="1" applyAlignment="1">
      <alignment horizontal="center"/>
    </xf>
    <xf numFmtId="0" fontId="0" fillId="3" borderId="0" xfId="0" applyFill="1"/>
    <xf numFmtId="14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/>
  </cellXfs>
  <cellStyles count="4">
    <cellStyle name="Moeda" xfId="3" builtinId="4"/>
    <cellStyle name="Normal" xfId="0" builtinId="0"/>
    <cellStyle name="Porcentagem" xfId="2" builtinId="5"/>
    <cellStyle name="Vírgula" xfId="1" builtinId="3"/>
  </cellStyles>
  <dxfs count="14"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38101</xdr:rowOff>
    </xdr:from>
    <xdr:to>
      <xdr:col>1</xdr:col>
      <xdr:colOff>622300</xdr:colOff>
      <xdr:row>20</xdr:row>
      <xdr:rowOff>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gmento">
              <a:extLst>
                <a:ext uri="{FF2B5EF4-FFF2-40B4-BE49-F238E27FC236}">
                  <a16:creationId xmlns:a16="http://schemas.microsoft.com/office/drawing/2014/main" id="{7A3135B3-38FB-5279-657C-1E3010FC46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3751"/>
              <a:ext cx="1828800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723900</xdr:colOff>
      <xdr:row>13</xdr:row>
      <xdr:rowOff>38100</xdr:rowOff>
    </xdr:from>
    <xdr:to>
      <xdr:col>3</xdr:col>
      <xdr:colOff>196850</xdr:colOff>
      <xdr:row>26</xdr:row>
      <xdr:rowOff>168275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283B5276-C8B0-88EA-38E8-27457A65AD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0400" y="2063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en Correia Da Silva Matos" refreshedDate="46016.800387731484" createdVersion="8" refreshedVersion="8" minRefreshableVersion="3" recordCount="300" xr:uid="{7988CC66-E745-42B8-86D6-7E750677C1DC}">
  <cacheSource type="worksheet">
    <worksheetSource ref="B2:H302" sheet="Base Total"/>
  </cacheSource>
  <cacheFields count="7">
    <cacheField name="Cliente" numFmtId="0">
      <sharedItems/>
    </cacheField>
    <cacheField name="Segmento" numFmtId="0">
      <sharedItems count="3">
        <s v="Média"/>
        <s v="Grande"/>
        <s v="Pequena"/>
      </sharedItems>
    </cacheField>
    <cacheField name="Estado" numFmtId="0">
      <sharedItems count="10">
        <s v="RJ"/>
        <s v="DF"/>
        <s v="SP"/>
        <s v="CE"/>
        <s v="MG"/>
        <s v="PE"/>
        <s v="BA"/>
        <s v="SC"/>
        <s v="RS"/>
        <s v="PR"/>
      </sharedItems>
    </cacheField>
    <cacheField name="Mês_Ano" numFmtId="14">
      <sharedItems count="7">
        <s v="2024-12"/>
        <s v="2025-01"/>
        <s v="2025-02"/>
        <s v="2025-03"/>
        <s v="2025-04"/>
        <s v="2025-05"/>
        <s v="2024-03" u="1"/>
      </sharedItems>
    </cacheField>
    <cacheField name="R$ Receita" numFmtId="44">
      <sharedItems containsSemiMixedTypes="0" containsString="0" containsNumber="1" containsInteger="1" minValue="2095" maxValue="49685"/>
    </cacheField>
    <cacheField name="R$ Custo" numFmtId="44">
      <sharedItems containsSemiMixedTypes="0" containsString="0" containsNumber="1" minValue="1159.3800000000001" maxValue="36548.82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 pivotCacheId="104003094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en Correia Da Silva Matos" refreshedDate="46016.872869791667" createdVersion="8" refreshedVersion="8" minRefreshableVersion="3" recordCount="300" xr:uid="{EB1A8A5F-7977-4E2F-B185-87B19D09002C}">
  <cacheSource type="worksheet">
    <worksheetSource ref="B2:J302" sheet="Base Total"/>
  </cacheSource>
  <cacheFields count="9">
    <cacheField name="Cliente" numFmtId="0">
      <sharedItems count="50">
        <s v="A"/>
        <s v="B"/>
        <s v="C"/>
        <s v="D"/>
        <s v="E"/>
        <s v="F"/>
        <s v="G"/>
        <s v="H"/>
        <s v="I"/>
        <s v="J"/>
        <s v="K"/>
        <s v="L"/>
        <s v="M"/>
        <s v="N"/>
        <s v="O"/>
        <s v="P"/>
        <s v="Q"/>
        <s v="R"/>
        <s v="S"/>
        <s v="T"/>
        <s v="U"/>
        <s v="V"/>
        <s v="X"/>
        <s v="W"/>
        <s v="Y"/>
        <s v="Z"/>
        <s v="AA"/>
        <s v="AB"/>
        <s v="AC"/>
        <s v="AD"/>
        <s v="AE"/>
        <s v="AF"/>
        <s v="AG"/>
        <s v="AH"/>
        <s v="AI"/>
        <s v="AJ"/>
        <s v="AK"/>
        <s v="AL"/>
        <s v="AM"/>
        <s v="AN"/>
        <s v="AO"/>
        <s v="AP"/>
        <s v="AQ"/>
        <s v="AR"/>
        <s v="AS"/>
        <s v="AT"/>
        <s v="AU"/>
        <s v="AV"/>
        <s v="AX"/>
        <s v="AW"/>
      </sharedItems>
    </cacheField>
    <cacheField name="Segmento" numFmtId="0">
      <sharedItems count="3">
        <s v="Média"/>
        <s v="Grande"/>
        <s v="Pequena"/>
      </sharedItems>
    </cacheField>
    <cacheField name="Estado" numFmtId="0">
      <sharedItems/>
    </cacheField>
    <cacheField name="Mês_Ano" numFmtId="14">
      <sharedItems count="7">
        <s v="2024-12"/>
        <s v="2025-01"/>
        <s v="2025-02"/>
        <s v="2025-03"/>
        <s v="2025-04"/>
        <s v="2025-05"/>
        <s v="2024-03" u="1"/>
      </sharedItems>
    </cacheField>
    <cacheField name="R$ Receita" numFmtId="44">
      <sharedItems containsSemiMixedTypes="0" containsString="0" containsNumber="1" containsInteger="1" minValue="2095" maxValue="49685"/>
    </cacheField>
    <cacheField name="R$ Custo" numFmtId="44">
      <sharedItems containsSemiMixedTypes="0" containsString="0" containsNumber="1" minValue="1159.3800000000001" maxValue="36548.82"/>
    </cacheField>
    <cacheField name="Status" numFmtId="0">
      <sharedItems/>
    </cacheField>
    <cacheField name="Margem Bruta Mês" numFmtId="9">
      <sharedItems containsSemiMixedTypes="0" containsString="0" containsNumber="1" minValue="0.20379732422430968" maxValue="0.49878057217974886"/>
    </cacheField>
    <cacheField name="Clientes Margem Brut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s v="A"/>
    <x v="0"/>
    <x v="0"/>
    <x v="0"/>
    <n v="21231"/>
    <n v="13598.65"/>
    <s v="Cancelado"/>
  </r>
  <r>
    <s v="A"/>
    <x v="0"/>
    <x v="0"/>
    <x v="1"/>
    <n v="35273"/>
    <n v="24414.45"/>
    <s v="Ativo"/>
  </r>
  <r>
    <s v="A"/>
    <x v="0"/>
    <x v="0"/>
    <x v="2"/>
    <n v="12897"/>
    <n v="7662.32"/>
    <s v="Ativo"/>
  </r>
  <r>
    <s v="A"/>
    <x v="0"/>
    <x v="0"/>
    <x v="3"/>
    <n v="29303"/>
    <n v="16188.04"/>
    <s v="Ativo"/>
  </r>
  <r>
    <s v="A"/>
    <x v="0"/>
    <x v="0"/>
    <x v="4"/>
    <n v="42192"/>
    <n v="26160.68"/>
    <s v="Ativo"/>
  </r>
  <r>
    <s v="A"/>
    <x v="0"/>
    <x v="0"/>
    <x v="5"/>
    <n v="13155"/>
    <n v="7317.15"/>
    <s v="Ativo"/>
  </r>
  <r>
    <s v="B"/>
    <x v="0"/>
    <x v="1"/>
    <x v="0"/>
    <n v="39211"/>
    <n v="25382.97"/>
    <s v="Ativo"/>
  </r>
  <r>
    <s v="B"/>
    <x v="0"/>
    <x v="1"/>
    <x v="1"/>
    <n v="26027"/>
    <n v="19476.55"/>
    <s v="Ativo"/>
  </r>
  <r>
    <s v="B"/>
    <x v="0"/>
    <x v="1"/>
    <x v="2"/>
    <n v="35119"/>
    <n v="20804.3"/>
    <s v="Ativo"/>
  </r>
  <r>
    <s v="B"/>
    <x v="0"/>
    <x v="1"/>
    <x v="3"/>
    <n v="21363"/>
    <n v="16304.52"/>
    <s v="Ativo"/>
  </r>
  <r>
    <s v="B"/>
    <x v="0"/>
    <x v="1"/>
    <x v="4"/>
    <n v="7179"/>
    <n v="4489.8500000000004"/>
    <s v="Cancelado"/>
  </r>
  <r>
    <s v="B"/>
    <x v="0"/>
    <x v="1"/>
    <x v="5"/>
    <n v="26815"/>
    <n v="14788.29"/>
    <s v="Ativo"/>
  </r>
  <r>
    <s v="C"/>
    <x v="1"/>
    <x v="2"/>
    <x v="0"/>
    <n v="15923"/>
    <n v="11332.07"/>
    <s v="Ativo"/>
  </r>
  <r>
    <s v="C"/>
    <x v="1"/>
    <x v="2"/>
    <x v="1"/>
    <n v="4922"/>
    <n v="3371.62"/>
    <s v="Ativo"/>
  </r>
  <r>
    <s v="C"/>
    <x v="1"/>
    <x v="2"/>
    <x v="2"/>
    <n v="46087"/>
    <n v="23605.5"/>
    <s v="Ativo"/>
  </r>
  <r>
    <s v="C"/>
    <x v="1"/>
    <x v="2"/>
    <x v="3"/>
    <n v="24934"/>
    <n v="15050.3"/>
    <s v="Ativo"/>
  </r>
  <r>
    <s v="C"/>
    <x v="1"/>
    <x v="2"/>
    <x v="4"/>
    <n v="10325"/>
    <n v="6350.68"/>
    <s v="Ativo"/>
  </r>
  <r>
    <s v="C"/>
    <x v="1"/>
    <x v="2"/>
    <x v="5"/>
    <n v="15620"/>
    <n v="11100.81"/>
    <s v="Ativo"/>
  </r>
  <r>
    <s v="D"/>
    <x v="2"/>
    <x v="0"/>
    <x v="0"/>
    <n v="14806"/>
    <n v="11759.08"/>
    <s v="Ativo"/>
  </r>
  <r>
    <s v="D"/>
    <x v="2"/>
    <x v="0"/>
    <x v="1"/>
    <n v="38204"/>
    <n v="22071.97"/>
    <s v="Cancelado"/>
  </r>
  <r>
    <s v="D"/>
    <x v="2"/>
    <x v="0"/>
    <x v="2"/>
    <n v="45343"/>
    <n v="27404.74"/>
    <s v="Ativo"/>
  </r>
  <r>
    <s v="D"/>
    <x v="2"/>
    <x v="0"/>
    <x v="3"/>
    <n v="4530"/>
    <n v="3245.71"/>
    <s v="Ativo"/>
  </r>
  <r>
    <s v="D"/>
    <x v="2"/>
    <x v="0"/>
    <x v="4"/>
    <n v="37571"/>
    <n v="23561.599999999999"/>
    <s v="Ativo"/>
  </r>
  <r>
    <s v="D"/>
    <x v="2"/>
    <x v="0"/>
    <x v="5"/>
    <n v="4056"/>
    <n v="2302.59"/>
    <s v="Cancelado"/>
  </r>
  <r>
    <s v="E"/>
    <x v="0"/>
    <x v="2"/>
    <x v="0"/>
    <n v="2657"/>
    <n v="1928.07"/>
    <s v="Ativo"/>
  </r>
  <r>
    <s v="E"/>
    <x v="0"/>
    <x v="2"/>
    <x v="1"/>
    <n v="11565"/>
    <n v="8763.25"/>
    <s v="Ativo"/>
  </r>
  <r>
    <s v="E"/>
    <x v="0"/>
    <x v="2"/>
    <x v="2"/>
    <n v="36553"/>
    <n v="24262.11"/>
    <s v="Cancelado"/>
  </r>
  <r>
    <s v="E"/>
    <x v="0"/>
    <x v="2"/>
    <x v="3"/>
    <n v="28310"/>
    <n v="17281.939999999999"/>
    <s v="Ativo"/>
  </r>
  <r>
    <s v="E"/>
    <x v="0"/>
    <x v="2"/>
    <x v="4"/>
    <n v="46096"/>
    <n v="32122.080000000002"/>
    <s v="Ativo"/>
  </r>
  <r>
    <s v="E"/>
    <x v="0"/>
    <x v="2"/>
    <x v="5"/>
    <n v="43742"/>
    <n v="29148.19"/>
    <s v="Ativo"/>
  </r>
  <r>
    <s v="F"/>
    <x v="1"/>
    <x v="3"/>
    <x v="0"/>
    <n v="30245"/>
    <n v="17225.669999999998"/>
    <s v="Ativo"/>
  </r>
  <r>
    <s v="F"/>
    <x v="1"/>
    <x v="3"/>
    <x v="1"/>
    <n v="19225"/>
    <n v="13198.56"/>
    <s v="Ativo"/>
  </r>
  <r>
    <s v="F"/>
    <x v="1"/>
    <x v="3"/>
    <x v="2"/>
    <n v="14920"/>
    <n v="9956.4599999999991"/>
    <s v="Ativo"/>
  </r>
  <r>
    <s v="F"/>
    <x v="1"/>
    <x v="3"/>
    <x v="3"/>
    <n v="2898"/>
    <n v="1676.48"/>
    <s v="Ativo"/>
  </r>
  <r>
    <s v="F"/>
    <x v="1"/>
    <x v="3"/>
    <x v="4"/>
    <n v="4717"/>
    <n v="3441.2"/>
    <s v="Cancelado"/>
  </r>
  <r>
    <s v="F"/>
    <x v="1"/>
    <x v="3"/>
    <x v="5"/>
    <n v="43205"/>
    <n v="26285.81"/>
    <s v="Ativo"/>
  </r>
  <r>
    <s v="G"/>
    <x v="0"/>
    <x v="4"/>
    <x v="0"/>
    <n v="45635"/>
    <n v="23769.57"/>
    <s v="Cancelado"/>
  </r>
  <r>
    <s v="G"/>
    <x v="0"/>
    <x v="4"/>
    <x v="1"/>
    <n v="34170"/>
    <n v="20568.41"/>
    <s v="Ativo"/>
  </r>
  <r>
    <s v="G"/>
    <x v="0"/>
    <x v="4"/>
    <x v="2"/>
    <n v="17007"/>
    <n v="9132.7999999999993"/>
    <s v="Ativo"/>
  </r>
  <r>
    <s v="G"/>
    <x v="0"/>
    <x v="4"/>
    <x v="3"/>
    <n v="3752"/>
    <n v="2728.99"/>
    <s v="Ativo"/>
  </r>
  <r>
    <s v="G"/>
    <x v="0"/>
    <x v="4"/>
    <x v="4"/>
    <n v="48439"/>
    <n v="30513.5"/>
    <s v="Ativo"/>
  </r>
  <r>
    <s v="G"/>
    <x v="0"/>
    <x v="4"/>
    <x v="5"/>
    <n v="15933"/>
    <n v="10546.55"/>
    <s v="Cancelado"/>
  </r>
  <r>
    <s v="H"/>
    <x v="1"/>
    <x v="5"/>
    <x v="0"/>
    <n v="13988"/>
    <n v="7546.88"/>
    <s v="Ativo"/>
  </r>
  <r>
    <s v="H"/>
    <x v="1"/>
    <x v="5"/>
    <x v="1"/>
    <n v="44154"/>
    <n v="31626.3"/>
    <s v="Ativo"/>
  </r>
  <r>
    <s v="H"/>
    <x v="1"/>
    <x v="5"/>
    <x v="2"/>
    <n v="13742"/>
    <n v="10808.71"/>
    <s v="Cancelado"/>
  </r>
  <r>
    <s v="H"/>
    <x v="1"/>
    <x v="5"/>
    <x v="3"/>
    <n v="4330"/>
    <n v="3126.91"/>
    <s v="Ativo"/>
  </r>
  <r>
    <s v="H"/>
    <x v="1"/>
    <x v="5"/>
    <x v="4"/>
    <n v="3283"/>
    <n v="2182.11"/>
    <s v="Ativo"/>
  </r>
  <r>
    <s v="H"/>
    <x v="1"/>
    <x v="5"/>
    <x v="5"/>
    <n v="2099"/>
    <n v="1159.3800000000001"/>
    <s v="Ativo"/>
  </r>
  <r>
    <s v="I"/>
    <x v="0"/>
    <x v="4"/>
    <x v="0"/>
    <n v="35899"/>
    <n v="27541.15"/>
    <s v="Cancelado"/>
  </r>
  <r>
    <s v="I"/>
    <x v="0"/>
    <x v="4"/>
    <x v="1"/>
    <n v="11979"/>
    <n v="8368.92"/>
    <s v="Cancelado"/>
  </r>
  <r>
    <s v="I"/>
    <x v="0"/>
    <x v="4"/>
    <x v="2"/>
    <n v="30856"/>
    <n v="17932.580000000002"/>
    <s v="Cancelado"/>
  </r>
  <r>
    <s v="I"/>
    <x v="0"/>
    <x v="4"/>
    <x v="3"/>
    <n v="12397"/>
    <n v="6975.21"/>
    <s v="Ativo"/>
  </r>
  <r>
    <s v="I"/>
    <x v="0"/>
    <x v="4"/>
    <x v="4"/>
    <n v="35361"/>
    <n v="22507.87"/>
    <s v="Cancelado"/>
  </r>
  <r>
    <s v="I"/>
    <x v="0"/>
    <x v="4"/>
    <x v="5"/>
    <n v="13005"/>
    <n v="10246.040000000001"/>
    <s v="Cancelado"/>
  </r>
  <r>
    <s v="J"/>
    <x v="1"/>
    <x v="6"/>
    <x v="0"/>
    <n v="19081"/>
    <n v="14472.79"/>
    <s v="Ativo"/>
  </r>
  <r>
    <s v="J"/>
    <x v="1"/>
    <x v="6"/>
    <x v="1"/>
    <n v="7388"/>
    <n v="4351.05"/>
    <s v="Ativo"/>
  </r>
  <r>
    <s v="J"/>
    <x v="1"/>
    <x v="6"/>
    <x v="2"/>
    <n v="25506"/>
    <n v="19246.84"/>
    <s v="Ativo"/>
  </r>
  <r>
    <s v="J"/>
    <x v="1"/>
    <x v="6"/>
    <x v="3"/>
    <n v="10008"/>
    <n v="5245.33"/>
    <s v="Ativo"/>
  </r>
  <r>
    <s v="J"/>
    <x v="1"/>
    <x v="6"/>
    <x v="4"/>
    <n v="48075"/>
    <n v="30490.73"/>
    <s v="Ativo"/>
  </r>
  <r>
    <s v="J"/>
    <x v="1"/>
    <x v="6"/>
    <x v="5"/>
    <n v="9701"/>
    <n v="6040.23"/>
    <s v="Ativo"/>
  </r>
  <r>
    <s v="K"/>
    <x v="2"/>
    <x v="7"/>
    <x v="0"/>
    <n v="46897"/>
    <n v="27429.360000000001"/>
    <s v="Ativo"/>
  </r>
  <r>
    <s v="K"/>
    <x v="2"/>
    <x v="7"/>
    <x v="1"/>
    <n v="47608"/>
    <n v="32658.15"/>
    <s v="Ativo"/>
  </r>
  <r>
    <s v="K"/>
    <x v="2"/>
    <x v="7"/>
    <x v="2"/>
    <n v="40680"/>
    <n v="27671.35"/>
    <s v="Ativo"/>
  </r>
  <r>
    <s v="K"/>
    <x v="2"/>
    <x v="7"/>
    <x v="3"/>
    <n v="32521"/>
    <n v="25280.02"/>
    <s v="Ativo"/>
  </r>
  <r>
    <s v="K"/>
    <x v="2"/>
    <x v="7"/>
    <x v="4"/>
    <n v="12557"/>
    <n v="9886.14"/>
    <s v="Ativo"/>
  </r>
  <r>
    <s v="K"/>
    <x v="2"/>
    <x v="7"/>
    <x v="5"/>
    <n v="7527"/>
    <n v="4386.0200000000004"/>
    <s v="Ativo"/>
  </r>
  <r>
    <s v="L"/>
    <x v="1"/>
    <x v="1"/>
    <x v="0"/>
    <n v="36806"/>
    <n v="21473.11"/>
    <s v="Ativo"/>
  </r>
  <r>
    <s v="L"/>
    <x v="1"/>
    <x v="1"/>
    <x v="1"/>
    <n v="21716"/>
    <n v="12776.22"/>
    <s v="Ativo"/>
  </r>
  <r>
    <s v="L"/>
    <x v="1"/>
    <x v="1"/>
    <x v="2"/>
    <n v="20446"/>
    <n v="11448.38"/>
    <s v="Ativo"/>
  </r>
  <r>
    <s v="L"/>
    <x v="1"/>
    <x v="1"/>
    <x v="3"/>
    <n v="23460"/>
    <n v="17324.41"/>
    <s v="Ativo"/>
  </r>
  <r>
    <s v="L"/>
    <x v="1"/>
    <x v="1"/>
    <x v="4"/>
    <n v="23755"/>
    <n v="15754.91"/>
    <s v="Ativo"/>
  </r>
  <r>
    <s v="L"/>
    <x v="1"/>
    <x v="1"/>
    <x v="5"/>
    <n v="47467"/>
    <n v="36284.089999999997"/>
    <s v="Ativo"/>
  </r>
  <r>
    <s v="M"/>
    <x v="0"/>
    <x v="3"/>
    <x v="0"/>
    <n v="18899"/>
    <n v="10332.93"/>
    <s v="Ativo"/>
  </r>
  <r>
    <s v="M"/>
    <x v="0"/>
    <x v="3"/>
    <x v="1"/>
    <n v="9629"/>
    <n v="7664.88"/>
    <s v="Ativo"/>
  </r>
  <r>
    <s v="M"/>
    <x v="0"/>
    <x v="3"/>
    <x v="2"/>
    <n v="9867"/>
    <n v="5296.05"/>
    <s v="Ativo"/>
  </r>
  <r>
    <s v="M"/>
    <x v="0"/>
    <x v="3"/>
    <x v="3"/>
    <n v="26670"/>
    <n v="20567.97"/>
    <s v="Cancelado"/>
  </r>
  <r>
    <s v="M"/>
    <x v="0"/>
    <x v="3"/>
    <x v="4"/>
    <n v="38849"/>
    <n v="24675.66"/>
    <s v="Ativo"/>
  </r>
  <r>
    <s v="M"/>
    <x v="0"/>
    <x v="3"/>
    <x v="5"/>
    <n v="19165"/>
    <n v="12147.41"/>
    <s v="Ativo"/>
  </r>
  <r>
    <s v="N"/>
    <x v="0"/>
    <x v="2"/>
    <x v="0"/>
    <n v="24247"/>
    <n v="12695.52"/>
    <s v="Ativo"/>
  </r>
  <r>
    <s v="N"/>
    <x v="0"/>
    <x v="2"/>
    <x v="1"/>
    <n v="36928"/>
    <n v="20397.37"/>
    <s v="Ativo"/>
  </r>
  <r>
    <s v="N"/>
    <x v="0"/>
    <x v="2"/>
    <x v="2"/>
    <n v="9259"/>
    <n v="6297.21"/>
    <s v="Cancelado"/>
  </r>
  <r>
    <s v="N"/>
    <x v="0"/>
    <x v="2"/>
    <x v="3"/>
    <n v="44919"/>
    <n v="25245.84"/>
    <s v="Ativo"/>
  </r>
  <r>
    <s v="N"/>
    <x v="0"/>
    <x v="2"/>
    <x v="4"/>
    <n v="48838"/>
    <n v="27511.29"/>
    <s v="Ativo"/>
  </r>
  <r>
    <s v="N"/>
    <x v="0"/>
    <x v="2"/>
    <x v="5"/>
    <n v="20203"/>
    <n v="14594.09"/>
    <s v="Ativo"/>
  </r>
  <r>
    <s v="O"/>
    <x v="2"/>
    <x v="8"/>
    <x v="0"/>
    <n v="25062"/>
    <n v="18422.669999999998"/>
    <s v="Ativo"/>
  </r>
  <r>
    <s v="O"/>
    <x v="2"/>
    <x v="8"/>
    <x v="1"/>
    <n v="34086"/>
    <n v="24226.6"/>
    <s v="Ativo"/>
  </r>
  <r>
    <s v="O"/>
    <x v="2"/>
    <x v="8"/>
    <x v="2"/>
    <n v="9723"/>
    <n v="4931.96"/>
    <s v="Ativo"/>
  </r>
  <r>
    <s v="O"/>
    <x v="2"/>
    <x v="8"/>
    <x v="3"/>
    <n v="8243"/>
    <n v="5472.34"/>
    <s v="Ativo"/>
  </r>
  <r>
    <s v="O"/>
    <x v="2"/>
    <x v="8"/>
    <x v="4"/>
    <n v="45403"/>
    <n v="35689.410000000003"/>
    <s v="Ativo"/>
  </r>
  <r>
    <s v="O"/>
    <x v="2"/>
    <x v="8"/>
    <x v="5"/>
    <n v="40794"/>
    <n v="25915.31"/>
    <s v="Ativo"/>
  </r>
  <r>
    <s v="P"/>
    <x v="2"/>
    <x v="9"/>
    <x v="0"/>
    <n v="26265"/>
    <n v="17618.830000000002"/>
    <s v="Ativo"/>
  </r>
  <r>
    <s v="P"/>
    <x v="2"/>
    <x v="9"/>
    <x v="1"/>
    <n v="34662"/>
    <n v="22451.99"/>
    <s v="Ativo"/>
  </r>
  <r>
    <s v="P"/>
    <x v="2"/>
    <x v="9"/>
    <x v="2"/>
    <n v="45834"/>
    <n v="25153.94"/>
    <s v="Ativo"/>
  </r>
  <r>
    <s v="P"/>
    <x v="2"/>
    <x v="9"/>
    <x v="3"/>
    <n v="17384"/>
    <n v="12393.51"/>
    <s v="Cancelado"/>
  </r>
  <r>
    <s v="P"/>
    <x v="2"/>
    <x v="9"/>
    <x v="4"/>
    <n v="5030"/>
    <n v="3869.63"/>
    <s v="Cancelado"/>
  </r>
  <r>
    <s v="P"/>
    <x v="2"/>
    <x v="9"/>
    <x v="5"/>
    <n v="8067"/>
    <n v="4816.6000000000004"/>
    <s v="Ativo"/>
  </r>
  <r>
    <s v="Q"/>
    <x v="1"/>
    <x v="9"/>
    <x v="0"/>
    <n v="20995"/>
    <n v="10771.82"/>
    <s v="Ativo"/>
  </r>
  <r>
    <s v="Q"/>
    <x v="1"/>
    <x v="9"/>
    <x v="1"/>
    <n v="20013"/>
    <n v="10287.68"/>
    <s v="Ativo"/>
  </r>
  <r>
    <s v="Q"/>
    <x v="1"/>
    <x v="9"/>
    <x v="2"/>
    <n v="6886"/>
    <n v="4752.08"/>
    <s v="Ativo"/>
  </r>
  <r>
    <s v="Q"/>
    <x v="1"/>
    <x v="9"/>
    <x v="3"/>
    <n v="9075"/>
    <n v="5930.96"/>
    <s v="Ativo"/>
  </r>
  <r>
    <s v="Q"/>
    <x v="1"/>
    <x v="9"/>
    <x v="4"/>
    <n v="48175"/>
    <n v="29853.8"/>
    <s v="Ativo"/>
  </r>
  <r>
    <s v="Q"/>
    <x v="1"/>
    <x v="9"/>
    <x v="5"/>
    <n v="16414"/>
    <n v="9320.2800000000007"/>
    <s v="Ativo"/>
  </r>
  <r>
    <s v="R"/>
    <x v="1"/>
    <x v="5"/>
    <x v="0"/>
    <n v="27340"/>
    <n v="20171.79"/>
    <s v="Ativo"/>
  </r>
  <r>
    <s v="R"/>
    <x v="1"/>
    <x v="5"/>
    <x v="1"/>
    <n v="4440"/>
    <n v="2998.63"/>
    <s v="Ativo"/>
  </r>
  <r>
    <s v="R"/>
    <x v="1"/>
    <x v="5"/>
    <x v="2"/>
    <n v="19562"/>
    <n v="13386.39"/>
    <s v="Ativo"/>
  </r>
  <r>
    <s v="R"/>
    <x v="1"/>
    <x v="5"/>
    <x v="3"/>
    <n v="28803"/>
    <n v="19236.2"/>
    <s v="Cancelado"/>
  </r>
  <r>
    <s v="R"/>
    <x v="1"/>
    <x v="5"/>
    <x v="4"/>
    <n v="4109"/>
    <n v="2744.43"/>
    <s v="Ativo"/>
  </r>
  <r>
    <s v="R"/>
    <x v="1"/>
    <x v="5"/>
    <x v="5"/>
    <n v="31357"/>
    <n v="16100.28"/>
    <s v="Ativo"/>
  </r>
  <r>
    <s v="S"/>
    <x v="2"/>
    <x v="3"/>
    <x v="0"/>
    <n v="41566"/>
    <n v="32942.39"/>
    <s v="Cancelado"/>
  </r>
  <r>
    <s v="S"/>
    <x v="2"/>
    <x v="3"/>
    <x v="1"/>
    <n v="28545"/>
    <n v="16020.18"/>
    <s v="Cancelado"/>
  </r>
  <r>
    <s v="S"/>
    <x v="2"/>
    <x v="3"/>
    <x v="2"/>
    <n v="41648"/>
    <n v="29490.26"/>
    <s v="Ativo"/>
  </r>
  <r>
    <s v="S"/>
    <x v="2"/>
    <x v="3"/>
    <x v="3"/>
    <n v="32796"/>
    <n v="18084.97"/>
    <s v="Ativo"/>
  </r>
  <r>
    <s v="S"/>
    <x v="2"/>
    <x v="3"/>
    <x v="4"/>
    <n v="34248"/>
    <n v="24271.84"/>
    <s v="Ativo"/>
  </r>
  <r>
    <s v="S"/>
    <x v="2"/>
    <x v="3"/>
    <x v="5"/>
    <n v="44925"/>
    <n v="29388.29"/>
    <s v="Ativo"/>
  </r>
  <r>
    <s v="T"/>
    <x v="0"/>
    <x v="8"/>
    <x v="0"/>
    <n v="48541"/>
    <n v="36120.78"/>
    <s v="Cancelado"/>
  </r>
  <r>
    <s v="T"/>
    <x v="0"/>
    <x v="8"/>
    <x v="1"/>
    <n v="35551"/>
    <n v="17828.689999999999"/>
    <s v="Ativo"/>
  </r>
  <r>
    <s v="T"/>
    <x v="0"/>
    <x v="8"/>
    <x v="2"/>
    <n v="17876"/>
    <n v="9630.52"/>
    <s v="Ativo"/>
  </r>
  <r>
    <s v="T"/>
    <x v="0"/>
    <x v="8"/>
    <x v="3"/>
    <n v="47298"/>
    <n v="33202.06"/>
    <s v="Cancelado"/>
  </r>
  <r>
    <s v="T"/>
    <x v="0"/>
    <x v="8"/>
    <x v="4"/>
    <n v="35483"/>
    <n v="21822.63"/>
    <s v="Ativo"/>
  </r>
  <r>
    <s v="T"/>
    <x v="0"/>
    <x v="8"/>
    <x v="5"/>
    <n v="45775"/>
    <n v="24058.34"/>
    <s v="Ativo"/>
  </r>
  <r>
    <s v="U"/>
    <x v="0"/>
    <x v="8"/>
    <x v="0"/>
    <n v="41749"/>
    <n v="22746.78"/>
    <s v="Ativo"/>
  </r>
  <r>
    <s v="U"/>
    <x v="0"/>
    <x v="8"/>
    <x v="1"/>
    <n v="47188"/>
    <n v="26456.58"/>
    <s v="Ativo"/>
  </r>
  <r>
    <s v="U"/>
    <x v="0"/>
    <x v="8"/>
    <x v="2"/>
    <n v="6239"/>
    <n v="3881.52"/>
    <s v="Ativo"/>
  </r>
  <r>
    <s v="U"/>
    <x v="0"/>
    <x v="8"/>
    <x v="3"/>
    <n v="25102"/>
    <n v="12979.96"/>
    <s v="Ativo"/>
  </r>
  <r>
    <s v="U"/>
    <x v="0"/>
    <x v="8"/>
    <x v="4"/>
    <n v="47907"/>
    <n v="26995.23"/>
    <s v="Cancelado"/>
  </r>
  <r>
    <s v="U"/>
    <x v="0"/>
    <x v="8"/>
    <x v="5"/>
    <n v="32310"/>
    <n v="22971.5"/>
    <s v="Ativo"/>
  </r>
  <r>
    <s v="V"/>
    <x v="1"/>
    <x v="4"/>
    <x v="0"/>
    <n v="20008"/>
    <n v="14046.47"/>
    <s v="Ativo"/>
  </r>
  <r>
    <s v="V"/>
    <x v="1"/>
    <x v="4"/>
    <x v="1"/>
    <n v="43449"/>
    <n v="34223.31"/>
    <s v="Ativo"/>
  </r>
  <r>
    <s v="V"/>
    <x v="1"/>
    <x v="4"/>
    <x v="2"/>
    <n v="31682"/>
    <n v="18524.57"/>
    <s v="Ativo"/>
  </r>
  <r>
    <s v="V"/>
    <x v="1"/>
    <x v="4"/>
    <x v="3"/>
    <n v="48767"/>
    <n v="27985.18"/>
    <s v="Cancelado"/>
  </r>
  <r>
    <s v="V"/>
    <x v="1"/>
    <x v="4"/>
    <x v="4"/>
    <n v="37251"/>
    <n v="24543.64"/>
    <s v="Ativo"/>
  </r>
  <r>
    <s v="V"/>
    <x v="1"/>
    <x v="4"/>
    <x v="5"/>
    <n v="22468"/>
    <n v="14987.05"/>
    <s v="Cancelado"/>
  </r>
  <r>
    <s v="X"/>
    <x v="2"/>
    <x v="4"/>
    <x v="0"/>
    <n v="46567"/>
    <n v="29089.37"/>
    <s v="Ativo"/>
  </r>
  <r>
    <s v="X"/>
    <x v="2"/>
    <x v="4"/>
    <x v="1"/>
    <n v="6613"/>
    <n v="3705.14"/>
    <s v="Cancelado"/>
  </r>
  <r>
    <s v="X"/>
    <x v="2"/>
    <x v="4"/>
    <x v="2"/>
    <n v="46185"/>
    <n v="36169.870000000003"/>
    <s v="Ativo"/>
  </r>
  <r>
    <s v="X"/>
    <x v="2"/>
    <x v="4"/>
    <x v="3"/>
    <n v="13135"/>
    <n v="8305.43"/>
    <s v="Ativo"/>
  </r>
  <r>
    <s v="X"/>
    <x v="2"/>
    <x v="4"/>
    <x v="4"/>
    <n v="24902"/>
    <n v="18556.7"/>
    <s v="Ativo"/>
  </r>
  <r>
    <s v="X"/>
    <x v="2"/>
    <x v="4"/>
    <x v="5"/>
    <n v="21992"/>
    <n v="13248.44"/>
    <s v="Cancelado"/>
  </r>
  <r>
    <s v="W"/>
    <x v="1"/>
    <x v="7"/>
    <x v="0"/>
    <n v="43954"/>
    <n v="23015.58"/>
    <s v="Ativo"/>
  </r>
  <r>
    <s v="W"/>
    <x v="1"/>
    <x v="7"/>
    <x v="1"/>
    <n v="17602"/>
    <n v="10768.44"/>
    <s v="Ativo"/>
  </r>
  <r>
    <s v="W"/>
    <x v="1"/>
    <x v="7"/>
    <x v="2"/>
    <n v="49685"/>
    <n v="28990.560000000001"/>
    <s v="Ativo"/>
  </r>
  <r>
    <s v="W"/>
    <x v="1"/>
    <x v="7"/>
    <x v="3"/>
    <n v="42082"/>
    <n v="29531.18"/>
    <s v="Ativo"/>
  </r>
  <r>
    <s v="W"/>
    <x v="1"/>
    <x v="7"/>
    <x v="4"/>
    <n v="43161"/>
    <n v="28077.29"/>
    <s v="Ativo"/>
  </r>
  <r>
    <s v="W"/>
    <x v="1"/>
    <x v="7"/>
    <x v="5"/>
    <n v="36095"/>
    <n v="19061.560000000001"/>
    <s v="Ativo"/>
  </r>
  <r>
    <s v="Y"/>
    <x v="2"/>
    <x v="1"/>
    <x v="0"/>
    <n v="11107"/>
    <n v="7488.07"/>
    <s v="Ativo"/>
  </r>
  <r>
    <s v="Y"/>
    <x v="2"/>
    <x v="1"/>
    <x v="1"/>
    <n v="26020"/>
    <n v="19148.64"/>
    <s v="Ativo"/>
  </r>
  <r>
    <s v="Y"/>
    <x v="2"/>
    <x v="1"/>
    <x v="2"/>
    <n v="25224"/>
    <n v="19123.689999999999"/>
    <s v="Cancelado"/>
  </r>
  <r>
    <s v="Y"/>
    <x v="2"/>
    <x v="1"/>
    <x v="3"/>
    <n v="20585"/>
    <n v="15216.51"/>
    <s v="Ativo"/>
  </r>
  <r>
    <s v="Y"/>
    <x v="2"/>
    <x v="1"/>
    <x v="4"/>
    <n v="45898"/>
    <n v="32565.43"/>
    <s v="Cancelado"/>
  </r>
  <r>
    <s v="Y"/>
    <x v="2"/>
    <x v="1"/>
    <x v="5"/>
    <n v="9265"/>
    <n v="7037.71"/>
    <s v="Ativo"/>
  </r>
  <r>
    <s v="Z"/>
    <x v="0"/>
    <x v="8"/>
    <x v="0"/>
    <n v="7187"/>
    <n v="5587.8"/>
    <s v="Ativo"/>
  </r>
  <r>
    <s v="Z"/>
    <x v="0"/>
    <x v="8"/>
    <x v="1"/>
    <n v="41871"/>
    <n v="30230.080000000002"/>
    <s v="Ativo"/>
  </r>
  <r>
    <s v="Z"/>
    <x v="0"/>
    <x v="8"/>
    <x v="2"/>
    <n v="11067"/>
    <n v="5741.22"/>
    <s v="Ativo"/>
  </r>
  <r>
    <s v="Z"/>
    <x v="0"/>
    <x v="8"/>
    <x v="3"/>
    <n v="6830"/>
    <n v="4184.37"/>
    <s v="Ativo"/>
  </r>
  <r>
    <s v="Z"/>
    <x v="0"/>
    <x v="8"/>
    <x v="4"/>
    <n v="40235"/>
    <n v="23150.44"/>
    <s v="Ativo"/>
  </r>
  <r>
    <s v="Z"/>
    <x v="0"/>
    <x v="8"/>
    <x v="5"/>
    <n v="35425"/>
    <n v="21884.63"/>
    <s v="Ativo"/>
  </r>
  <r>
    <s v="AA"/>
    <x v="2"/>
    <x v="3"/>
    <x v="0"/>
    <n v="28969"/>
    <n v="20582.7"/>
    <s v="Ativo"/>
  </r>
  <r>
    <s v="AA"/>
    <x v="2"/>
    <x v="3"/>
    <x v="1"/>
    <n v="2386"/>
    <n v="1690.13"/>
    <s v="Ativo"/>
  </r>
  <r>
    <s v="AA"/>
    <x v="2"/>
    <x v="3"/>
    <x v="2"/>
    <n v="40838"/>
    <n v="23362.16"/>
    <s v="Cancelado"/>
  </r>
  <r>
    <s v="AA"/>
    <x v="2"/>
    <x v="3"/>
    <x v="3"/>
    <n v="8978"/>
    <n v="5112.78"/>
    <s v="Ativo"/>
  </r>
  <r>
    <s v="AA"/>
    <x v="2"/>
    <x v="3"/>
    <x v="4"/>
    <n v="27839"/>
    <n v="17335.05"/>
    <s v="Ativo"/>
  </r>
  <r>
    <s v="AA"/>
    <x v="2"/>
    <x v="3"/>
    <x v="5"/>
    <n v="39248"/>
    <n v="22489.65"/>
    <s v="Ativo"/>
  </r>
  <r>
    <s v="AB"/>
    <x v="2"/>
    <x v="4"/>
    <x v="0"/>
    <n v="23771"/>
    <n v="18909.580000000002"/>
    <s v="Cancelado"/>
  </r>
  <r>
    <s v="AB"/>
    <x v="2"/>
    <x v="4"/>
    <x v="1"/>
    <n v="34600"/>
    <n v="27023.13"/>
    <s v="Cancelado"/>
  </r>
  <r>
    <s v="AB"/>
    <x v="2"/>
    <x v="4"/>
    <x v="2"/>
    <n v="22016"/>
    <n v="14173.99"/>
    <s v="Ativo"/>
  </r>
  <r>
    <s v="AB"/>
    <x v="2"/>
    <x v="4"/>
    <x v="3"/>
    <n v="8422"/>
    <n v="4549.87"/>
    <s v="Ativo"/>
  </r>
  <r>
    <s v="AB"/>
    <x v="2"/>
    <x v="4"/>
    <x v="4"/>
    <n v="30851"/>
    <n v="17088.32"/>
    <s v="Ativo"/>
  </r>
  <r>
    <s v="AB"/>
    <x v="2"/>
    <x v="4"/>
    <x v="5"/>
    <n v="10593"/>
    <n v="5393.04"/>
    <s v="Cancelado"/>
  </r>
  <r>
    <s v="AC"/>
    <x v="2"/>
    <x v="9"/>
    <x v="0"/>
    <n v="39501"/>
    <n v="21731.37"/>
    <s v="Ativo"/>
  </r>
  <r>
    <s v="AC"/>
    <x v="2"/>
    <x v="9"/>
    <x v="1"/>
    <n v="34417"/>
    <n v="21307.68"/>
    <s v="Ativo"/>
  </r>
  <r>
    <s v="AC"/>
    <x v="2"/>
    <x v="9"/>
    <x v="2"/>
    <n v="21078"/>
    <n v="16782.36"/>
    <s v="Ativo"/>
  </r>
  <r>
    <s v="AC"/>
    <x v="2"/>
    <x v="9"/>
    <x v="3"/>
    <n v="33430"/>
    <n v="22323.15"/>
    <s v="Ativo"/>
  </r>
  <r>
    <s v="AC"/>
    <x v="2"/>
    <x v="9"/>
    <x v="4"/>
    <n v="43196"/>
    <n v="28280.79"/>
    <s v="Ativo"/>
  </r>
  <r>
    <s v="AC"/>
    <x v="2"/>
    <x v="9"/>
    <x v="5"/>
    <n v="40074"/>
    <n v="28216.23"/>
    <s v="Ativo"/>
  </r>
  <r>
    <s v="AD"/>
    <x v="1"/>
    <x v="2"/>
    <x v="0"/>
    <n v="15094"/>
    <n v="9779.6200000000008"/>
    <s v="Ativo"/>
  </r>
  <r>
    <s v="AD"/>
    <x v="1"/>
    <x v="2"/>
    <x v="1"/>
    <n v="18751"/>
    <n v="12296.08"/>
    <s v="Ativo"/>
  </r>
  <r>
    <s v="AD"/>
    <x v="1"/>
    <x v="2"/>
    <x v="2"/>
    <n v="21586"/>
    <n v="14257.13"/>
    <s v="Ativo"/>
  </r>
  <r>
    <s v="AD"/>
    <x v="1"/>
    <x v="2"/>
    <x v="3"/>
    <n v="48315"/>
    <n v="27348.19"/>
    <s v="Ativo"/>
  </r>
  <r>
    <s v="AD"/>
    <x v="1"/>
    <x v="2"/>
    <x v="4"/>
    <n v="7391"/>
    <n v="4785.66"/>
    <s v="Ativo"/>
  </r>
  <r>
    <s v="AD"/>
    <x v="1"/>
    <x v="2"/>
    <x v="5"/>
    <n v="40885"/>
    <n v="25475.49"/>
    <s v="Ativo"/>
  </r>
  <r>
    <s v="AE"/>
    <x v="1"/>
    <x v="5"/>
    <x v="0"/>
    <n v="31309"/>
    <n v="17589.259999999998"/>
    <s v="Ativo"/>
  </r>
  <r>
    <s v="AE"/>
    <x v="1"/>
    <x v="5"/>
    <x v="1"/>
    <n v="45790"/>
    <n v="26250.04"/>
    <s v="Ativo"/>
  </r>
  <r>
    <s v="AE"/>
    <x v="1"/>
    <x v="5"/>
    <x v="2"/>
    <n v="21228"/>
    <n v="12613.07"/>
    <s v="Ativo"/>
  </r>
  <r>
    <s v="AE"/>
    <x v="1"/>
    <x v="5"/>
    <x v="3"/>
    <n v="26281"/>
    <n v="17326.93"/>
    <s v="Ativo"/>
  </r>
  <r>
    <s v="AE"/>
    <x v="1"/>
    <x v="5"/>
    <x v="4"/>
    <n v="48670"/>
    <n v="31177.5"/>
    <s v="Ativo"/>
  </r>
  <r>
    <s v="AE"/>
    <x v="1"/>
    <x v="5"/>
    <x v="5"/>
    <n v="9641"/>
    <n v="5233.71"/>
    <s v="Ativo"/>
  </r>
  <r>
    <s v="AF"/>
    <x v="1"/>
    <x v="5"/>
    <x v="0"/>
    <n v="41093"/>
    <n v="21922.26"/>
    <s v="Ativo"/>
  </r>
  <r>
    <s v="AF"/>
    <x v="1"/>
    <x v="5"/>
    <x v="1"/>
    <n v="33173"/>
    <n v="20052.14"/>
    <s v="Ativo"/>
  </r>
  <r>
    <s v="AF"/>
    <x v="1"/>
    <x v="5"/>
    <x v="2"/>
    <n v="18640"/>
    <n v="14768.53"/>
    <s v="Cancelado"/>
  </r>
  <r>
    <s v="AF"/>
    <x v="1"/>
    <x v="5"/>
    <x v="3"/>
    <n v="48010"/>
    <n v="27199.53"/>
    <s v="Ativo"/>
  </r>
  <r>
    <s v="AF"/>
    <x v="1"/>
    <x v="5"/>
    <x v="4"/>
    <n v="29485"/>
    <n v="19892.98"/>
    <s v="Ativo"/>
  </r>
  <r>
    <s v="AF"/>
    <x v="1"/>
    <x v="5"/>
    <x v="5"/>
    <n v="34752"/>
    <n v="22927.79"/>
    <s v="Ativo"/>
  </r>
  <r>
    <s v="AG"/>
    <x v="1"/>
    <x v="9"/>
    <x v="0"/>
    <n v="40656"/>
    <n v="22704.400000000001"/>
    <s v="Ativo"/>
  </r>
  <r>
    <s v="AG"/>
    <x v="1"/>
    <x v="9"/>
    <x v="1"/>
    <n v="24304"/>
    <n v="13621.69"/>
    <s v="Ativo"/>
  </r>
  <r>
    <s v="AG"/>
    <x v="1"/>
    <x v="9"/>
    <x v="2"/>
    <n v="37193"/>
    <n v="20562.38"/>
    <s v="Ativo"/>
  </r>
  <r>
    <s v="AG"/>
    <x v="1"/>
    <x v="9"/>
    <x v="3"/>
    <n v="21609"/>
    <n v="17177.59"/>
    <s v="Ativo"/>
  </r>
  <r>
    <s v="AG"/>
    <x v="1"/>
    <x v="9"/>
    <x v="4"/>
    <n v="43085"/>
    <n v="33285.85"/>
    <s v="Ativo"/>
  </r>
  <r>
    <s v="AG"/>
    <x v="1"/>
    <x v="9"/>
    <x v="5"/>
    <n v="11558"/>
    <n v="6060.8"/>
    <s v="Ativo"/>
  </r>
  <r>
    <s v="AH"/>
    <x v="0"/>
    <x v="5"/>
    <x v="0"/>
    <n v="16766"/>
    <n v="8582.17"/>
    <s v="Ativo"/>
  </r>
  <r>
    <s v="AH"/>
    <x v="0"/>
    <x v="5"/>
    <x v="1"/>
    <n v="23489"/>
    <n v="15820.6"/>
    <s v="Ativo"/>
  </r>
  <r>
    <s v="AH"/>
    <x v="0"/>
    <x v="5"/>
    <x v="2"/>
    <n v="39691"/>
    <n v="23553.52"/>
    <s v="Cancelado"/>
  </r>
  <r>
    <s v="AH"/>
    <x v="0"/>
    <x v="5"/>
    <x v="3"/>
    <n v="31187"/>
    <n v="24444.18"/>
    <s v="Ativo"/>
  </r>
  <r>
    <s v="AH"/>
    <x v="0"/>
    <x v="5"/>
    <x v="4"/>
    <n v="48779"/>
    <n v="25101.9"/>
    <s v="Ativo"/>
  </r>
  <r>
    <s v="AH"/>
    <x v="0"/>
    <x v="5"/>
    <x v="5"/>
    <n v="23356"/>
    <n v="16493.52"/>
    <s v="Ativo"/>
  </r>
  <r>
    <s v="AI"/>
    <x v="0"/>
    <x v="5"/>
    <x v="0"/>
    <n v="44167"/>
    <n v="31937.48"/>
    <s v="Ativo"/>
  </r>
  <r>
    <s v="AI"/>
    <x v="0"/>
    <x v="5"/>
    <x v="1"/>
    <n v="15485"/>
    <n v="9387.8700000000008"/>
    <s v="Ativo"/>
  </r>
  <r>
    <s v="AI"/>
    <x v="0"/>
    <x v="5"/>
    <x v="2"/>
    <n v="38762"/>
    <n v="19724.79"/>
    <s v="Cancelado"/>
  </r>
  <r>
    <s v="AI"/>
    <x v="0"/>
    <x v="5"/>
    <x v="3"/>
    <n v="16173"/>
    <n v="10475.1"/>
    <s v="Ativo"/>
  </r>
  <r>
    <s v="AI"/>
    <x v="0"/>
    <x v="5"/>
    <x v="4"/>
    <n v="6759"/>
    <n v="4409.12"/>
    <s v="Ativo"/>
  </r>
  <r>
    <s v="AI"/>
    <x v="0"/>
    <x v="5"/>
    <x v="5"/>
    <n v="28458"/>
    <n v="20445.29"/>
    <s v="Ativo"/>
  </r>
  <r>
    <s v="AJ"/>
    <x v="1"/>
    <x v="2"/>
    <x v="0"/>
    <n v="12535"/>
    <n v="7983.67"/>
    <s v="Ativo"/>
  </r>
  <r>
    <s v="AJ"/>
    <x v="1"/>
    <x v="2"/>
    <x v="1"/>
    <n v="27318"/>
    <n v="16716.759999999998"/>
    <s v="Ativo"/>
  </r>
  <r>
    <s v="AJ"/>
    <x v="1"/>
    <x v="2"/>
    <x v="2"/>
    <n v="40616"/>
    <n v="31661.94"/>
    <s v="Cancelado"/>
  </r>
  <r>
    <s v="AJ"/>
    <x v="1"/>
    <x v="2"/>
    <x v="3"/>
    <n v="11782"/>
    <n v="8272.6299999999992"/>
    <s v="Ativo"/>
  </r>
  <r>
    <s v="AJ"/>
    <x v="1"/>
    <x v="2"/>
    <x v="4"/>
    <n v="15728"/>
    <n v="9077.73"/>
    <s v="Ativo"/>
  </r>
  <r>
    <s v="AJ"/>
    <x v="1"/>
    <x v="2"/>
    <x v="5"/>
    <n v="43830"/>
    <n v="29407.77"/>
    <s v="Ativo"/>
  </r>
  <r>
    <s v="AK"/>
    <x v="2"/>
    <x v="8"/>
    <x v="0"/>
    <n v="34278"/>
    <n v="26604.97"/>
    <s v="Ativo"/>
  </r>
  <r>
    <s v="AK"/>
    <x v="2"/>
    <x v="8"/>
    <x v="1"/>
    <n v="9274"/>
    <n v="6476.54"/>
    <s v="Ativo"/>
  </r>
  <r>
    <s v="AK"/>
    <x v="2"/>
    <x v="8"/>
    <x v="2"/>
    <n v="25990"/>
    <n v="18117.98"/>
    <s v="Ativo"/>
  </r>
  <r>
    <s v="AK"/>
    <x v="2"/>
    <x v="8"/>
    <x v="3"/>
    <n v="22422"/>
    <n v="15188.46"/>
    <s v="Cancelado"/>
  </r>
  <r>
    <s v="AK"/>
    <x v="2"/>
    <x v="8"/>
    <x v="4"/>
    <n v="49124"/>
    <n v="33639.35"/>
    <s v="Cancelado"/>
  </r>
  <r>
    <s v="AK"/>
    <x v="2"/>
    <x v="8"/>
    <x v="5"/>
    <n v="34747"/>
    <n v="18622.79"/>
    <s v="Ativo"/>
  </r>
  <r>
    <s v="AL"/>
    <x v="1"/>
    <x v="4"/>
    <x v="0"/>
    <n v="37824"/>
    <n v="19545.88"/>
    <s v="Ativo"/>
  </r>
  <r>
    <s v="AL"/>
    <x v="1"/>
    <x v="4"/>
    <x v="1"/>
    <n v="33725"/>
    <n v="22500.58"/>
    <s v="Ativo"/>
  </r>
  <r>
    <s v="AL"/>
    <x v="1"/>
    <x v="4"/>
    <x v="2"/>
    <n v="47708"/>
    <n v="33859.769999999997"/>
    <s v="Ativo"/>
  </r>
  <r>
    <s v="AL"/>
    <x v="1"/>
    <x v="4"/>
    <x v="3"/>
    <n v="41937"/>
    <n v="30594.46"/>
    <s v="Ativo"/>
  </r>
  <r>
    <s v="AL"/>
    <x v="1"/>
    <x v="4"/>
    <x v="4"/>
    <n v="4864"/>
    <n v="2457.63"/>
    <s v="Ativo"/>
  </r>
  <r>
    <s v="AL"/>
    <x v="1"/>
    <x v="4"/>
    <x v="5"/>
    <n v="9238"/>
    <n v="6623.4"/>
    <s v="Ativo"/>
  </r>
  <r>
    <s v="AM"/>
    <x v="2"/>
    <x v="1"/>
    <x v="0"/>
    <n v="44774"/>
    <n v="28511.23"/>
    <s v="Ativo"/>
  </r>
  <r>
    <s v="AM"/>
    <x v="2"/>
    <x v="1"/>
    <x v="1"/>
    <n v="46815"/>
    <n v="24877.21"/>
    <s v="Ativo"/>
  </r>
  <r>
    <s v="AM"/>
    <x v="2"/>
    <x v="1"/>
    <x v="2"/>
    <n v="10474"/>
    <n v="8095.69"/>
    <s v="Ativo"/>
  </r>
  <r>
    <s v="AM"/>
    <x v="2"/>
    <x v="1"/>
    <x v="3"/>
    <n v="11251"/>
    <n v="7980.88"/>
    <s v="Ativo"/>
  </r>
  <r>
    <s v="AM"/>
    <x v="2"/>
    <x v="1"/>
    <x v="4"/>
    <n v="37443"/>
    <n v="29053.23"/>
    <s v="Ativo"/>
  </r>
  <r>
    <s v="AM"/>
    <x v="2"/>
    <x v="1"/>
    <x v="5"/>
    <n v="35749"/>
    <n v="25853.93"/>
    <s v="Ativo"/>
  </r>
  <r>
    <s v="AN"/>
    <x v="0"/>
    <x v="9"/>
    <x v="0"/>
    <n v="40023"/>
    <n v="28343.45"/>
    <s v="Ativo"/>
  </r>
  <r>
    <s v="AN"/>
    <x v="0"/>
    <x v="9"/>
    <x v="1"/>
    <n v="11144"/>
    <n v="7722.01"/>
    <s v="Cancelado"/>
  </r>
  <r>
    <s v="AN"/>
    <x v="0"/>
    <x v="9"/>
    <x v="2"/>
    <n v="18478"/>
    <n v="13776.58"/>
    <s v="Ativo"/>
  </r>
  <r>
    <s v="AN"/>
    <x v="0"/>
    <x v="9"/>
    <x v="3"/>
    <n v="2095"/>
    <n v="1658.89"/>
    <s v="Ativo"/>
  </r>
  <r>
    <s v="AN"/>
    <x v="0"/>
    <x v="9"/>
    <x v="4"/>
    <n v="41794"/>
    <n v="24439.65"/>
    <s v="Ativo"/>
  </r>
  <r>
    <s v="AN"/>
    <x v="0"/>
    <x v="9"/>
    <x v="5"/>
    <n v="6042"/>
    <n v="4401.71"/>
    <s v="Ativo"/>
  </r>
  <r>
    <s v="AO"/>
    <x v="0"/>
    <x v="4"/>
    <x v="0"/>
    <n v="49189"/>
    <n v="26285.75"/>
    <s v="Ativo"/>
  </r>
  <r>
    <s v="AO"/>
    <x v="0"/>
    <x v="4"/>
    <x v="1"/>
    <n v="35723"/>
    <n v="23567.49"/>
    <s v="Cancelado"/>
  </r>
  <r>
    <s v="AO"/>
    <x v="0"/>
    <x v="4"/>
    <x v="2"/>
    <n v="31884"/>
    <n v="21240.77"/>
    <s v="Ativo"/>
  </r>
  <r>
    <s v="AO"/>
    <x v="0"/>
    <x v="4"/>
    <x v="3"/>
    <n v="39221"/>
    <n v="24824.12"/>
    <s v="Cancelado"/>
  </r>
  <r>
    <s v="AO"/>
    <x v="0"/>
    <x v="4"/>
    <x v="4"/>
    <n v="27176"/>
    <n v="20582.740000000002"/>
    <s v="Ativo"/>
  </r>
  <r>
    <s v="AO"/>
    <x v="0"/>
    <x v="4"/>
    <x v="5"/>
    <n v="41925"/>
    <n v="30881.23"/>
    <s v="Ativo"/>
  </r>
  <r>
    <s v="AP"/>
    <x v="2"/>
    <x v="2"/>
    <x v="0"/>
    <n v="12359"/>
    <n v="9527.25"/>
    <s v="Ativo"/>
  </r>
  <r>
    <s v="AP"/>
    <x v="2"/>
    <x v="2"/>
    <x v="1"/>
    <n v="10846"/>
    <n v="8446.7199999999993"/>
    <s v="Cancelado"/>
  </r>
  <r>
    <s v="AP"/>
    <x v="2"/>
    <x v="2"/>
    <x v="2"/>
    <n v="49109"/>
    <n v="29662.54"/>
    <s v="Ativo"/>
  </r>
  <r>
    <s v="AP"/>
    <x v="2"/>
    <x v="2"/>
    <x v="3"/>
    <n v="14581"/>
    <n v="7722.65"/>
    <s v="Ativo"/>
  </r>
  <r>
    <s v="AP"/>
    <x v="2"/>
    <x v="2"/>
    <x v="4"/>
    <n v="48615"/>
    <n v="35548.629999999997"/>
    <s v="Ativo"/>
  </r>
  <r>
    <s v="AP"/>
    <x v="2"/>
    <x v="2"/>
    <x v="5"/>
    <n v="19053"/>
    <n v="11561.88"/>
    <s v="Cancelado"/>
  </r>
  <r>
    <s v="AQ"/>
    <x v="1"/>
    <x v="0"/>
    <x v="0"/>
    <n v="3142"/>
    <n v="2045.59"/>
    <s v="Ativo"/>
  </r>
  <r>
    <s v="AQ"/>
    <x v="1"/>
    <x v="0"/>
    <x v="1"/>
    <n v="31278"/>
    <n v="15750.59"/>
    <s v="Ativo"/>
  </r>
  <r>
    <s v="AQ"/>
    <x v="1"/>
    <x v="0"/>
    <x v="2"/>
    <n v="29699"/>
    <n v="22527.040000000001"/>
    <s v="Cancelado"/>
  </r>
  <r>
    <s v="AQ"/>
    <x v="1"/>
    <x v="0"/>
    <x v="3"/>
    <n v="26942"/>
    <n v="21009.39"/>
    <s v="Ativo"/>
  </r>
  <r>
    <s v="AQ"/>
    <x v="1"/>
    <x v="0"/>
    <x v="4"/>
    <n v="23327"/>
    <n v="14661.83"/>
    <s v="Ativo"/>
  </r>
  <r>
    <s v="AQ"/>
    <x v="1"/>
    <x v="0"/>
    <x v="5"/>
    <n v="32952"/>
    <n v="23166.99"/>
    <s v="Cancelado"/>
  </r>
  <r>
    <s v="AR"/>
    <x v="0"/>
    <x v="5"/>
    <x v="0"/>
    <n v="23453"/>
    <n v="12067.83"/>
    <s v="Ativo"/>
  </r>
  <r>
    <s v="AR"/>
    <x v="0"/>
    <x v="5"/>
    <x v="1"/>
    <n v="43994"/>
    <n v="34446.699999999997"/>
    <s v="Ativo"/>
  </r>
  <r>
    <s v="AR"/>
    <x v="0"/>
    <x v="5"/>
    <x v="2"/>
    <n v="41766"/>
    <n v="24973.86"/>
    <s v="Ativo"/>
  </r>
  <r>
    <s v="AR"/>
    <x v="0"/>
    <x v="5"/>
    <x v="3"/>
    <n v="21105"/>
    <n v="13020.6"/>
    <s v="Cancelado"/>
  </r>
  <r>
    <s v="AR"/>
    <x v="0"/>
    <x v="5"/>
    <x v="4"/>
    <n v="23131"/>
    <n v="15599.38"/>
    <s v="Ativo"/>
  </r>
  <r>
    <s v="AR"/>
    <x v="0"/>
    <x v="5"/>
    <x v="5"/>
    <n v="37588"/>
    <n v="24740.71"/>
    <s v="Ativo"/>
  </r>
  <r>
    <s v="AS"/>
    <x v="1"/>
    <x v="9"/>
    <x v="0"/>
    <n v="8913"/>
    <n v="6560.5"/>
    <s v="Ativo"/>
  </r>
  <r>
    <s v="AS"/>
    <x v="1"/>
    <x v="9"/>
    <x v="1"/>
    <n v="30440"/>
    <n v="22439.75"/>
    <s v="Ativo"/>
  </r>
  <r>
    <s v="AS"/>
    <x v="1"/>
    <x v="9"/>
    <x v="2"/>
    <n v="9926"/>
    <n v="6261.24"/>
    <s v="Cancelado"/>
  </r>
  <r>
    <s v="AS"/>
    <x v="1"/>
    <x v="9"/>
    <x v="3"/>
    <n v="5240"/>
    <n v="4101.4399999999996"/>
    <s v="Ativo"/>
  </r>
  <r>
    <s v="AS"/>
    <x v="1"/>
    <x v="9"/>
    <x v="4"/>
    <n v="4200"/>
    <n v="2197.66"/>
    <s v="Ativo"/>
  </r>
  <r>
    <s v="AS"/>
    <x v="1"/>
    <x v="9"/>
    <x v="5"/>
    <n v="27942"/>
    <n v="19425.04"/>
    <s v="Cancelado"/>
  </r>
  <r>
    <s v="AT"/>
    <x v="0"/>
    <x v="8"/>
    <x v="0"/>
    <n v="37061"/>
    <n v="22688.76"/>
    <s v="Cancelado"/>
  </r>
  <r>
    <s v="AT"/>
    <x v="0"/>
    <x v="8"/>
    <x v="1"/>
    <n v="22830"/>
    <n v="15899.88"/>
    <s v="Ativo"/>
  </r>
  <r>
    <s v="AT"/>
    <x v="0"/>
    <x v="8"/>
    <x v="2"/>
    <n v="14502"/>
    <n v="8504.81"/>
    <s v="Ativo"/>
  </r>
  <r>
    <s v="AT"/>
    <x v="0"/>
    <x v="8"/>
    <x v="3"/>
    <n v="18401"/>
    <n v="14365.3"/>
    <s v="Ativo"/>
  </r>
  <r>
    <s v="AT"/>
    <x v="0"/>
    <x v="8"/>
    <x v="4"/>
    <n v="28430"/>
    <n v="18025.03"/>
    <s v="Ativo"/>
  </r>
  <r>
    <s v="AT"/>
    <x v="0"/>
    <x v="8"/>
    <x v="5"/>
    <n v="48041"/>
    <n v="34255.050000000003"/>
    <s v="Ativo"/>
  </r>
  <r>
    <s v="AU"/>
    <x v="1"/>
    <x v="3"/>
    <x v="0"/>
    <n v="17706"/>
    <n v="9334.02"/>
    <s v="Ativo"/>
  </r>
  <r>
    <s v="AU"/>
    <x v="1"/>
    <x v="3"/>
    <x v="1"/>
    <n v="10860"/>
    <n v="6655.81"/>
    <s v="Ativo"/>
  </r>
  <r>
    <s v="AU"/>
    <x v="1"/>
    <x v="3"/>
    <x v="2"/>
    <n v="34348"/>
    <n v="18815.189999999999"/>
    <s v="Ativo"/>
  </r>
  <r>
    <s v="AU"/>
    <x v="1"/>
    <x v="3"/>
    <x v="3"/>
    <n v="7197"/>
    <n v="3800.67"/>
    <s v="Ativo"/>
  </r>
  <r>
    <s v="AU"/>
    <x v="1"/>
    <x v="3"/>
    <x v="4"/>
    <n v="28447"/>
    <n v="15127.73"/>
    <s v="Ativo"/>
  </r>
  <r>
    <s v="AU"/>
    <x v="1"/>
    <x v="3"/>
    <x v="5"/>
    <n v="8571"/>
    <n v="5522.46"/>
    <s v="Ativo"/>
  </r>
  <r>
    <s v="AV"/>
    <x v="0"/>
    <x v="1"/>
    <x v="0"/>
    <n v="21985"/>
    <n v="15873.3"/>
    <s v="Ativo"/>
  </r>
  <r>
    <s v="AV"/>
    <x v="0"/>
    <x v="1"/>
    <x v="1"/>
    <n v="25487"/>
    <n v="19713.95"/>
    <s v="Ativo"/>
  </r>
  <r>
    <s v="AV"/>
    <x v="0"/>
    <x v="1"/>
    <x v="2"/>
    <n v="8131"/>
    <n v="5653"/>
    <s v="Ativo"/>
  </r>
  <r>
    <s v="AV"/>
    <x v="0"/>
    <x v="1"/>
    <x v="3"/>
    <n v="17900"/>
    <n v="13087.75"/>
    <s v="Ativo"/>
  </r>
  <r>
    <s v="AV"/>
    <x v="0"/>
    <x v="1"/>
    <x v="4"/>
    <n v="48114"/>
    <n v="29107.4"/>
    <s v="Ativo"/>
  </r>
  <r>
    <s v="AV"/>
    <x v="0"/>
    <x v="1"/>
    <x v="5"/>
    <n v="38836"/>
    <n v="24110.84"/>
    <s v="Cancelado"/>
  </r>
  <r>
    <s v="AX"/>
    <x v="1"/>
    <x v="7"/>
    <x v="0"/>
    <n v="3968"/>
    <n v="2463.09"/>
    <s v="Ativo"/>
  </r>
  <r>
    <s v="AX"/>
    <x v="1"/>
    <x v="7"/>
    <x v="1"/>
    <n v="31885"/>
    <n v="22202.95"/>
    <s v="Ativo"/>
  </r>
  <r>
    <s v="AX"/>
    <x v="1"/>
    <x v="7"/>
    <x v="2"/>
    <n v="8973"/>
    <n v="5141.21"/>
    <s v="Ativo"/>
  </r>
  <r>
    <s v="AX"/>
    <x v="1"/>
    <x v="7"/>
    <x v="3"/>
    <n v="28907"/>
    <n v="14488.75"/>
    <s v="Ativo"/>
  </r>
  <r>
    <s v="AX"/>
    <x v="1"/>
    <x v="7"/>
    <x v="4"/>
    <n v="3946"/>
    <n v="1985.3"/>
    <s v="Cancelado"/>
  </r>
  <r>
    <s v="AX"/>
    <x v="1"/>
    <x v="7"/>
    <x v="5"/>
    <n v="2507"/>
    <n v="1838.73"/>
    <s v="Ativo"/>
  </r>
  <r>
    <s v="AW"/>
    <x v="0"/>
    <x v="5"/>
    <x v="0"/>
    <n v="35366"/>
    <n v="22076.74"/>
    <s v="Ativo"/>
  </r>
  <r>
    <s v="AW"/>
    <x v="0"/>
    <x v="5"/>
    <x v="1"/>
    <n v="19951"/>
    <n v="14062.76"/>
    <s v="Cancelado"/>
  </r>
  <r>
    <s v="AW"/>
    <x v="0"/>
    <x v="5"/>
    <x v="2"/>
    <n v="41093"/>
    <n v="32604.77"/>
    <s v="Ativo"/>
  </r>
  <r>
    <s v="AW"/>
    <x v="0"/>
    <x v="5"/>
    <x v="3"/>
    <n v="11732"/>
    <n v="7162.43"/>
    <s v="Ativo"/>
  </r>
  <r>
    <s v="AW"/>
    <x v="0"/>
    <x v="5"/>
    <x v="4"/>
    <n v="5887"/>
    <n v="3610.04"/>
    <s v="Ativo"/>
  </r>
  <r>
    <s v="AW"/>
    <x v="0"/>
    <x v="5"/>
    <x v="5"/>
    <n v="46600"/>
    <n v="36548.82"/>
    <s v="Ativ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x v="0"/>
    <s v="RJ"/>
    <x v="0"/>
    <n v="21231"/>
    <n v="13598.65"/>
    <s v="Cancelado"/>
    <n v="0.35949083886769351"/>
    <s v="Médio valor"/>
  </r>
  <r>
    <x v="0"/>
    <x v="0"/>
    <s v="RJ"/>
    <x v="1"/>
    <n v="35273"/>
    <n v="24414.45"/>
    <s v="Ativo"/>
    <n v="0.30784310946049387"/>
    <s v="Médio valor"/>
  </r>
  <r>
    <x v="0"/>
    <x v="0"/>
    <s v="RJ"/>
    <x v="2"/>
    <n v="12897"/>
    <n v="7662.32"/>
    <s v="Ativo"/>
    <n v="0.40588353880747463"/>
    <s v="Médio valor"/>
  </r>
  <r>
    <x v="0"/>
    <x v="0"/>
    <s v="RJ"/>
    <x v="3"/>
    <n v="29303"/>
    <n v="16188.04"/>
    <s v="Ativo"/>
    <n v="0.44756373067603994"/>
    <s v="Médio valor"/>
  </r>
  <r>
    <x v="0"/>
    <x v="0"/>
    <s v="RJ"/>
    <x v="4"/>
    <n v="42192"/>
    <n v="26160.68"/>
    <s v="Ativo"/>
    <n v="0.37996113007205157"/>
    <s v="Médio valor"/>
  </r>
  <r>
    <x v="0"/>
    <x v="0"/>
    <s v="RJ"/>
    <x v="5"/>
    <n v="13155"/>
    <n v="7317.15"/>
    <s v="Ativo"/>
    <n v="0.44377423033067276"/>
    <s v="Médio valor"/>
  </r>
  <r>
    <x v="1"/>
    <x v="0"/>
    <s v="DF"/>
    <x v="0"/>
    <n v="39211"/>
    <n v="25382.97"/>
    <s v="Ativo"/>
    <n v="0.35265690750044626"/>
    <s v="Médio valor"/>
  </r>
  <r>
    <x v="1"/>
    <x v="0"/>
    <s v="DF"/>
    <x v="1"/>
    <n v="26027"/>
    <n v="19476.55"/>
    <s v="Ativo"/>
    <n v="0.25167902562723327"/>
    <s v="Médio valor"/>
  </r>
  <r>
    <x v="1"/>
    <x v="0"/>
    <s v="DF"/>
    <x v="2"/>
    <n v="35119"/>
    <n v="20804.3"/>
    <s v="Ativo"/>
    <n v="0.40760556963467071"/>
    <s v="Médio valor"/>
  </r>
  <r>
    <x v="1"/>
    <x v="0"/>
    <s v="DF"/>
    <x v="3"/>
    <n v="21363"/>
    <n v="16304.52"/>
    <s v="Ativo"/>
    <n v="0.2367869681224547"/>
    <s v="Médio valor"/>
  </r>
  <r>
    <x v="1"/>
    <x v="0"/>
    <s v="DF"/>
    <x v="4"/>
    <n v="7179"/>
    <n v="4489.8500000000004"/>
    <s v="Cancelado"/>
    <n v="0.37458559687978821"/>
    <s v="Médio valor"/>
  </r>
  <r>
    <x v="1"/>
    <x v="0"/>
    <s v="DF"/>
    <x v="5"/>
    <n v="26815"/>
    <n v="14788.29"/>
    <s v="Ativo"/>
    <n v="0.44850680589222447"/>
    <s v="Médio valor"/>
  </r>
  <r>
    <x v="2"/>
    <x v="1"/>
    <s v="SP"/>
    <x v="0"/>
    <n v="15923"/>
    <n v="11332.07"/>
    <s v="Ativo"/>
    <n v="0.2883206682157885"/>
    <s v="Baixo valor"/>
  </r>
  <r>
    <x v="2"/>
    <x v="1"/>
    <s v="SP"/>
    <x v="1"/>
    <n v="4922"/>
    <n v="3371.62"/>
    <s v="Ativo"/>
    <n v="0.31498984152783421"/>
    <s v="Baixo valor"/>
  </r>
  <r>
    <x v="2"/>
    <x v="1"/>
    <s v="SP"/>
    <x v="2"/>
    <n v="46087"/>
    <n v="23605.5"/>
    <s v="Ativo"/>
    <n v="0.48780567188144164"/>
    <s v="Baixo valor"/>
  </r>
  <r>
    <x v="2"/>
    <x v="1"/>
    <s v="SP"/>
    <x v="3"/>
    <n v="24934"/>
    <n v="15050.3"/>
    <s v="Ativo"/>
    <n v="0.39639448143097783"/>
    <s v="Baixo valor"/>
  </r>
  <r>
    <x v="2"/>
    <x v="1"/>
    <s v="SP"/>
    <x v="4"/>
    <n v="10325"/>
    <n v="6350.68"/>
    <s v="Ativo"/>
    <n v="0.38492203389830504"/>
    <s v="Baixo valor"/>
  </r>
  <r>
    <x v="2"/>
    <x v="1"/>
    <s v="SP"/>
    <x v="5"/>
    <n v="15620"/>
    <n v="11100.81"/>
    <s v="Ativo"/>
    <n v="0.28932074263764407"/>
    <s v="Baixo valor"/>
  </r>
  <r>
    <x v="3"/>
    <x v="2"/>
    <s v="RJ"/>
    <x v="0"/>
    <n v="14806"/>
    <n v="11759.08"/>
    <s v="Ativo"/>
    <n v="0.2057895447791436"/>
    <s v="Baixo valor"/>
  </r>
  <r>
    <x v="3"/>
    <x v="2"/>
    <s v="RJ"/>
    <x v="1"/>
    <n v="38204"/>
    <n v="22071.97"/>
    <s v="Cancelado"/>
    <n v="0.42226023453041561"/>
    <s v="Baixo valor"/>
  </r>
  <r>
    <x v="3"/>
    <x v="2"/>
    <s v="RJ"/>
    <x v="2"/>
    <n v="45343"/>
    <n v="27404.74"/>
    <s v="Ativo"/>
    <n v="0.39561255320556643"/>
    <s v="Baixo valor"/>
  </r>
  <r>
    <x v="3"/>
    <x v="2"/>
    <s v="RJ"/>
    <x v="3"/>
    <n v="4530"/>
    <n v="3245.71"/>
    <s v="Ativo"/>
    <n v="0.28350772626931564"/>
    <s v="Baixo valor"/>
  </r>
  <r>
    <x v="3"/>
    <x v="2"/>
    <s v="RJ"/>
    <x v="4"/>
    <n v="37571"/>
    <n v="23561.599999999999"/>
    <s v="Ativo"/>
    <n v="0.37287801761997291"/>
    <s v="Baixo valor"/>
  </r>
  <r>
    <x v="3"/>
    <x v="2"/>
    <s v="RJ"/>
    <x v="5"/>
    <n v="4056"/>
    <n v="2302.59"/>
    <s v="Cancelado"/>
    <n v="0.43230029585798813"/>
    <s v="Baixo valor"/>
  </r>
  <r>
    <x v="4"/>
    <x v="0"/>
    <s v="SP"/>
    <x v="0"/>
    <n v="2657"/>
    <n v="1928.07"/>
    <s v="Ativo"/>
    <n v="0.27434324426044415"/>
    <s v="Baixo valor"/>
  </r>
  <r>
    <x v="4"/>
    <x v="0"/>
    <s v="SP"/>
    <x v="1"/>
    <n v="11565"/>
    <n v="8763.25"/>
    <s v="Ativo"/>
    <n v="0.2422611327280588"/>
    <s v="Baixo valor"/>
  </r>
  <r>
    <x v="4"/>
    <x v="0"/>
    <s v="SP"/>
    <x v="2"/>
    <n v="36553"/>
    <n v="24262.11"/>
    <s v="Cancelado"/>
    <n v="0.33624846113862061"/>
    <s v="Baixo valor"/>
  </r>
  <r>
    <x v="4"/>
    <x v="0"/>
    <s v="SP"/>
    <x v="3"/>
    <n v="28310"/>
    <n v="17281.939999999999"/>
    <s v="Ativo"/>
    <n v="0.38954645001766164"/>
    <s v="Baixo valor"/>
  </r>
  <r>
    <x v="4"/>
    <x v="0"/>
    <s v="SP"/>
    <x v="4"/>
    <n v="46096"/>
    <n v="32122.080000000002"/>
    <s v="Ativo"/>
    <n v="0.30314821242624085"/>
    <s v="Baixo valor"/>
  </r>
  <r>
    <x v="4"/>
    <x v="0"/>
    <s v="SP"/>
    <x v="5"/>
    <n v="43742"/>
    <n v="29148.19"/>
    <s v="Ativo"/>
    <n v="0.33363380732476799"/>
    <s v="Baixo valor"/>
  </r>
  <r>
    <x v="5"/>
    <x v="1"/>
    <s v="CE"/>
    <x v="0"/>
    <n v="30245"/>
    <n v="17225.669999999998"/>
    <s v="Ativo"/>
    <n v="0.43046222516118371"/>
    <s v="Médio valor"/>
  </r>
  <r>
    <x v="5"/>
    <x v="1"/>
    <s v="CE"/>
    <x v="1"/>
    <n v="19225"/>
    <n v="13198.56"/>
    <s v="Ativo"/>
    <n v="0.31346892067620291"/>
    <s v="Médio valor"/>
  </r>
  <r>
    <x v="5"/>
    <x v="1"/>
    <s v="CE"/>
    <x v="2"/>
    <n v="14920"/>
    <n v="9956.4599999999991"/>
    <s v="Ativo"/>
    <n v="0.33267694369973194"/>
    <s v="Médio valor"/>
  </r>
  <r>
    <x v="5"/>
    <x v="1"/>
    <s v="CE"/>
    <x v="3"/>
    <n v="2898"/>
    <n v="1676.48"/>
    <s v="Ativo"/>
    <n v="0.42150448585231193"/>
    <s v="Médio valor"/>
  </r>
  <r>
    <x v="5"/>
    <x v="1"/>
    <s v="CE"/>
    <x v="4"/>
    <n v="4717"/>
    <n v="3441.2"/>
    <s v="Cancelado"/>
    <n v="0.27046851812592754"/>
    <s v="Médio valor"/>
  </r>
  <r>
    <x v="5"/>
    <x v="1"/>
    <s v="CE"/>
    <x v="5"/>
    <n v="43205"/>
    <n v="26285.81"/>
    <s v="Ativo"/>
    <n v="0.39160259229255873"/>
    <s v="Médio valor"/>
  </r>
  <r>
    <x v="6"/>
    <x v="0"/>
    <s v="MG"/>
    <x v="0"/>
    <n v="45635"/>
    <n v="23769.57"/>
    <s v="Cancelado"/>
    <n v="0.47913728497863484"/>
    <s v="Médio valor"/>
  </r>
  <r>
    <x v="6"/>
    <x v="0"/>
    <s v="MG"/>
    <x v="1"/>
    <n v="34170"/>
    <n v="20568.41"/>
    <s v="Ativo"/>
    <n v="0.39805648229441032"/>
    <s v="Médio valor"/>
  </r>
  <r>
    <x v="6"/>
    <x v="0"/>
    <s v="MG"/>
    <x v="2"/>
    <n v="17007"/>
    <n v="9132.7999999999993"/>
    <s v="Ativo"/>
    <n v="0.46299758922796502"/>
    <s v="Médio valor"/>
  </r>
  <r>
    <x v="6"/>
    <x v="0"/>
    <s v="MG"/>
    <x v="3"/>
    <n v="3752"/>
    <n v="2728.99"/>
    <s v="Ativo"/>
    <n v="0.27265724946695102"/>
    <s v="Médio valor"/>
  </r>
  <r>
    <x v="6"/>
    <x v="0"/>
    <s v="MG"/>
    <x v="4"/>
    <n v="48439"/>
    <n v="30513.5"/>
    <s v="Ativo"/>
    <n v="0.37006337868246658"/>
    <s v="Médio valor"/>
  </r>
  <r>
    <x v="6"/>
    <x v="0"/>
    <s v="MG"/>
    <x v="5"/>
    <n v="15933"/>
    <n v="10546.55"/>
    <s v="Cancelado"/>
    <n v="0.33806878804995927"/>
    <s v="Médio valor"/>
  </r>
  <r>
    <x v="7"/>
    <x v="1"/>
    <s v="PE"/>
    <x v="0"/>
    <n v="13988"/>
    <n v="7546.88"/>
    <s v="Ativo"/>
    <n v="0.4604746925936517"/>
    <s v="Médio valor"/>
  </r>
  <r>
    <x v="7"/>
    <x v="1"/>
    <s v="PE"/>
    <x v="1"/>
    <n v="44154"/>
    <n v="31626.3"/>
    <s v="Ativo"/>
    <n v="0.28372740861530099"/>
    <s v="Médio valor"/>
  </r>
  <r>
    <x v="7"/>
    <x v="1"/>
    <s v="PE"/>
    <x v="2"/>
    <n v="13742"/>
    <n v="10808.71"/>
    <s v="Cancelado"/>
    <n v="0.21345437345364582"/>
    <s v="Médio valor"/>
  </r>
  <r>
    <x v="7"/>
    <x v="1"/>
    <s v="PE"/>
    <x v="3"/>
    <n v="4330"/>
    <n v="3126.91"/>
    <s v="Ativo"/>
    <n v="0.2778498845265589"/>
    <s v="Médio valor"/>
  </r>
  <r>
    <x v="7"/>
    <x v="1"/>
    <s v="PE"/>
    <x v="4"/>
    <n v="3283"/>
    <n v="2182.11"/>
    <s v="Ativo"/>
    <n v="0.33533049040511725"/>
    <s v="Médio valor"/>
  </r>
  <r>
    <x v="7"/>
    <x v="1"/>
    <s v="PE"/>
    <x v="5"/>
    <n v="2099"/>
    <n v="1159.3800000000001"/>
    <s v="Ativo"/>
    <n v="0.44765126250595516"/>
    <s v="Médio valor"/>
  </r>
  <r>
    <x v="8"/>
    <x v="0"/>
    <s v="MG"/>
    <x v="0"/>
    <n v="35899"/>
    <n v="27541.15"/>
    <s v="Cancelado"/>
    <n v="0.23281567731691685"/>
    <s v="Baixo valor"/>
  </r>
  <r>
    <x v="8"/>
    <x v="0"/>
    <s v="MG"/>
    <x v="1"/>
    <n v="11979"/>
    <n v="8368.92"/>
    <s v="Cancelado"/>
    <n v="0.30136739293764087"/>
    <s v="Baixo valor"/>
  </r>
  <r>
    <x v="8"/>
    <x v="0"/>
    <s v="MG"/>
    <x v="2"/>
    <n v="30856"/>
    <n v="17932.580000000002"/>
    <s v="Cancelado"/>
    <n v="0.41883004926108369"/>
    <s v="Baixo valor"/>
  </r>
  <r>
    <x v="8"/>
    <x v="0"/>
    <s v="MG"/>
    <x v="3"/>
    <n v="12397"/>
    <n v="6975.21"/>
    <s v="Ativo"/>
    <n v="0.43734693877551017"/>
    <s v="Baixo valor"/>
  </r>
  <r>
    <x v="8"/>
    <x v="0"/>
    <s v="MG"/>
    <x v="4"/>
    <n v="35361"/>
    <n v="22507.87"/>
    <s v="Cancelado"/>
    <n v="0.36348321597239902"/>
    <s v="Baixo valor"/>
  </r>
  <r>
    <x v="8"/>
    <x v="0"/>
    <s v="MG"/>
    <x v="5"/>
    <n v="13005"/>
    <n v="10246.040000000001"/>
    <s v="Cancelado"/>
    <n v="0.21214609765474809"/>
    <s v="Baixo valor"/>
  </r>
  <r>
    <x v="9"/>
    <x v="1"/>
    <s v="BA"/>
    <x v="0"/>
    <n v="19081"/>
    <n v="14472.79"/>
    <s v="Ativo"/>
    <n v="0.24150778261097422"/>
    <s v="Baixo valor"/>
  </r>
  <r>
    <x v="9"/>
    <x v="1"/>
    <s v="BA"/>
    <x v="1"/>
    <n v="7388"/>
    <n v="4351.05"/>
    <s v="Ativo"/>
    <n v="0.41106524093123981"/>
    <s v="Baixo valor"/>
  </r>
  <r>
    <x v="9"/>
    <x v="1"/>
    <s v="BA"/>
    <x v="2"/>
    <n v="25506"/>
    <n v="19246.84"/>
    <s v="Ativo"/>
    <n v="0.24539951383988082"/>
    <s v="Baixo valor"/>
  </r>
  <r>
    <x v="9"/>
    <x v="1"/>
    <s v="BA"/>
    <x v="3"/>
    <n v="10008"/>
    <n v="5245.33"/>
    <s v="Ativo"/>
    <n v="0.47588629096722623"/>
    <s v="Baixo valor"/>
  </r>
  <r>
    <x v="9"/>
    <x v="1"/>
    <s v="BA"/>
    <x v="4"/>
    <n v="48075"/>
    <n v="30490.73"/>
    <s v="Ativo"/>
    <n v="0.36576744669786793"/>
    <s v="Baixo valor"/>
  </r>
  <r>
    <x v="9"/>
    <x v="1"/>
    <s v="BA"/>
    <x v="5"/>
    <n v="9701"/>
    <n v="6040.23"/>
    <s v="Ativo"/>
    <n v="0.37736006597258021"/>
    <s v="Baixo valor"/>
  </r>
  <r>
    <x v="10"/>
    <x v="2"/>
    <s v="SC"/>
    <x v="0"/>
    <n v="46897"/>
    <n v="27429.360000000001"/>
    <s v="Ativo"/>
    <n v="0.41511482610827982"/>
    <s v="Médio valor"/>
  </r>
  <r>
    <x v="10"/>
    <x v="2"/>
    <s v="SC"/>
    <x v="1"/>
    <n v="47608"/>
    <n v="32658.15"/>
    <s v="Ativo"/>
    <n v="0.31401970257099643"/>
    <s v="Médio valor"/>
  </r>
  <r>
    <x v="10"/>
    <x v="2"/>
    <s v="SC"/>
    <x v="2"/>
    <n v="40680"/>
    <n v="27671.35"/>
    <s v="Ativo"/>
    <n v="0.31977999016715836"/>
    <s v="Médio valor"/>
  </r>
  <r>
    <x v="10"/>
    <x v="2"/>
    <s v="SC"/>
    <x v="3"/>
    <n v="32521"/>
    <n v="25280.02"/>
    <s v="Ativo"/>
    <n v="0.22265551489806584"/>
    <s v="Médio valor"/>
  </r>
  <r>
    <x v="10"/>
    <x v="2"/>
    <s v="SC"/>
    <x v="4"/>
    <n v="12557"/>
    <n v="9886.14"/>
    <s v="Ativo"/>
    <n v="0.21269889304770254"/>
    <s v="Médio valor"/>
  </r>
  <r>
    <x v="10"/>
    <x v="2"/>
    <s v="SC"/>
    <x v="5"/>
    <n v="7527"/>
    <n v="4386.0200000000004"/>
    <s v="Ativo"/>
    <n v="0.41729507107745445"/>
    <s v="Médio valor"/>
  </r>
  <r>
    <x v="11"/>
    <x v="1"/>
    <s v="DF"/>
    <x v="0"/>
    <n v="36806"/>
    <n v="21473.11"/>
    <s v="Ativo"/>
    <n v="0.41658669782100743"/>
    <s v="Médio valor"/>
  </r>
  <r>
    <x v="11"/>
    <x v="1"/>
    <s v="DF"/>
    <x v="1"/>
    <n v="21716"/>
    <n v="12776.22"/>
    <s v="Ativo"/>
    <n v="0.41166789463989689"/>
    <s v="Médio valor"/>
  </r>
  <r>
    <x v="11"/>
    <x v="1"/>
    <s v="DF"/>
    <x v="2"/>
    <n v="20446"/>
    <n v="11448.38"/>
    <s v="Ativo"/>
    <n v="0.44006749486452124"/>
    <s v="Médio valor"/>
  </r>
  <r>
    <x v="11"/>
    <x v="1"/>
    <s v="DF"/>
    <x v="3"/>
    <n v="23460"/>
    <n v="17324.41"/>
    <s v="Ativo"/>
    <n v="0.26153410059676047"/>
    <s v="Médio valor"/>
  </r>
  <r>
    <x v="11"/>
    <x v="1"/>
    <s v="DF"/>
    <x v="4"/>
    <n v="23755"/>
    <n v="15754.91"/>
    <s v="Ativo"/>
    <n v="0.33677499473794992"/>
    <s v="Médio valor"/>
  </r>
  <r>
    <x v="11"/>
    <x v="1"/>
    <s v="DF"/>
    <x v="5"/>
    <n v="47467"/>
    <n v="36284.089999999997"/>
    <s v="Ativo"/>
    <n v="0.23559335959719391"/>
    <s v="Médio valor"/>
  </r>
  <r>
    <x v="12"/>
    <x v="0"/>
    <s v="CE"/>
    <x v="0"/>
    <n v="18899"/>
    <n v="10332.93"/>
    <s v="Ativo"/>
    <n v="0.45325519868776126"/>
    <s v="Médio valor"/>
  </r>
  <r>
    <x v="12"/>
    <x v="0"/>
    <s v="CE"/>
    <x v="1"/>
    <n v="9629"/>
    <n v="7664.88"/>
    <s v="Ativo"/>
    <n v="0.20397964482293071"/>
    <s v="Médio valor"/>
  </r>
  <r>
    <x v="12"/>
    <x v="0"/>
    <s v="CE"/>
    <x v="2"/>
    <n v="9867"/>
    <n v="5296.05"/>
    <s v="Ativo"/>
    <n v="0.46325630890848279"/>
    <s v="Médio valor"/>
  </r>
  <r>
    <x v="12"/>
    <x v="0"/>
    <s v="CE"/>
    <x v="3"/>
    <n v="26670"/>
    <n v="20567.97"/>
    <s v="Cancelado"/>
    <n v="0.22879752530933628"/>
    <s v="Médio valor"/>
  </r>
  <r>
    <x v="12"/>
    <x v="0"/>
    <s v="CE"/>
    <x v="4"/>
    <n v="38849"/>
    <n v="24675.66"/>
    <s v="Ativo"/>
    <n v="0.3648315271950372"/>
    <s v="Médio valor"/>
  </r>
  <r>
    <x v="12"/>
    <x v="0"/>
    <s v="CE"/>
    <x v="5"/>
    <n v="19165"/>
    <n v="12147.41"/>
    <s v="Ativo"/>
    <n v="0.36616697104096008"/>
    <s v="Médio valor"/>
  </r>
  <r>
    <x v="13"/>
    <x v="0"/>
    <s v="SP"/>
    <x v="0"/>
    <n v="24247"/>
    <n v="12695.52"/>
    <s v="Ativo"/>
    <n v="0.47640862787148924"/>
    <s v="Médio valor"/>
  </r>
  <r>
    <x v="13"/>
    <x v="0"/>
    <s v="SP"/>
    <x v="1"/>
    <n v="36928"/>
    <n v="20397.37"/>
    <s v="Ativo"/>
    <n v="0.44764487651646451"/>
    <s v="Médio valor"/>
  </r>
  <r>
    <x v="13"/>
    <x v="0"/>
    <s v="SP"/>
    <x v="2"/>
    <n v="9259"/>
    <n v="6297.21"/>
    <s v="Cancelado"/>
    <n v="0.31988227670374769"/>
    <s v="Médio valor"/>
  </r>
  <r>
    <x v="13"/>
    <x v="0"/>
    <s v="SP"/>
    <x v="3"/>
    <n v="44919"/>
    <n v="25245.84"/>
    <s v="Ativo"/>
    <n v="0.43796967875509252"/>
    <s v="Médio valor"/>
  </r>
  <r>
    <x v="13"/>
    <x v="0"/>
    <s v="SP"/>
    <x v="4"/>
    <n v="48838"/>
    <n v="27511.29"/>
    <s v="Ativo"/>
    <n v="0.43668270608952042"/>
    <s v="Médio valor"/>
  </r>
  <r>
    <x v="13"/>
    <x v="0"/>
    <s v="SP"/>
    <x v="5"/>
    <n v="20203"/>
    <n v="14594.09"/>
    <s v="Ativo"/>
    <n v="0.27762758006236699"/>
    <s v="Médio valor"/>
  </r>
  <r>
    <x v="14"/>
    <x v="2"/>
    <s v="RS"/>
    <x v="0"/>
    <n v="25062"/>
    <n v="18422.669999999998"/>
    <s v="Ativo"/>
    <n v="0.26491620780464453"/>
    <s v="Baixo valor"/>
  </r>
  <r>
    <x v="14"/>
    <x v="2"/>
    <s v="RS"/>
    <x v="1"/>
    <n v="34086"/>
    <n v="24226.6"/>
    <s v="Ativo"/>
    <n v="0.28925071877016961"/>
    <s v="Baixo valor"/>
  </r>
  <r>
    <x v="14"/>
    <x v="2"/>
    <s v="RS"/>
    <x v="2"/>
    <n v="9723"/>
    <n v="4931.96"/>
    <s v="Ativo"/>
    <n v="0.49275326545304948"/>
    <s v="Baixo valor"/>
  </r>
  <r>
    <x v="14"/>
    <x v="2"/>
    <s v="RS"/>
    <x v="3"/>
    <n v="8243"/>
    <n v="5472.34"/>
    <s v="Ativo"/>
    <n v="0.33612277083586073"/>
    <s v="Baixo valor"/>
  </r>
  <r>
    <x v="14"/>
    <x v="2"/>
    <s v="RS"/>
    <x v="4"/>
    <n v="45403"/>
    <n v="35689.410000000003"/>
    <s v="Ativo"/>
    <n v="0.21394158976279093"/>
    <s v="Baixo valor"/>
  </r>
  <r>
    <x v="14"/>
    <x v="2"/>
    <s v="RS"/>
    <x v="5"/>
    <n v="40794"/>
    <n v="25915.31"/>
    <s v="Ativo"/>
    <n v="0.36472741089375887"/>
    <s v="Baixo valor"/>
  </r>
  <r>
    <x v="15"/>
    <x v="2"/>
    <s v="PR"/>
    <x v="0"/>
    <n v="26265"/>
    <n v="17618.830000000002"/>
    <s v="Ativo"/>
    <n v="0.32918979630687217"/>
    <s v="Médio valor"/>
  </r>
  <r>
    <x v="15"/>
    <x v="2"/>
    <s v="PR"/>
    <x v="1"/>
    <n v="34662"/>
    <n v="22451.99"/>
    <s v="Ativo"/>
    <n v="0.35225924643702033"/>
    <s v="Médio valor"/>
  </r>
  <r>
    <x v="15"/>
    <x v="2"/>
    <s v="PR"/>
    <x v="2"/>
    <n v="45834"/>
    <n v="25153.94"/>
    <s v="Ativo"/>
    <n v="0.45119474625823625"/>
    <s v="Médio valor"/>
  </r>
  <r>
    <x v="15"/>
    <x v="2"/>
    <s v="PR"/>
    <x v="3"/>
    <n v="17384"/>
    <n v="12393.51"/>
    <s v="Cancelado"/>
    <n v="0.28707374597330876"/>
    <s v="Médio valor"/>
  </r>
  <r>
    <x v="15"/>
    <x v="2"/>
    <s v="PR"/>
    <x v="4"/>
    <n v="5030"/>
    <n v="3869.63"/>
    <s v="Cancelado"/>
    <n v="0.23068986083499005"/>
    <s v="Médio valor"/>
  </r>
  <r>
    <x v="15"/>
    <x v="2"/>
    <s v="PR"/>
    <x v="5"/>
    <n v="8067"/>
    <n v="4816.6000000000004"/>
    <s v="Ativo"/>
    <n v="0.40292549894632451"/>
    <s v="Médio valor"/>
  </r>
  <r>
    <x v="16"/>
    <x v="1"/>
    <s v="PR"/>
    <x v="0"/>
    <n v="20995"/>
    <n v="10771.82"/>
    <s v="Ativo"/>
    <n v="0.48693403191236012"/>
    <s v="Médio valor"/>
  </r>
  <r>
    <x v="16"/>
    <x v="1"/>
    <s v="PR"/>
    <x v="1"/>
    <n v="20013"/>
    <n v="10287.68"/>
    <s v="Ativo"/>
    <n v="0.48595013241393092"/>
    <s v="Médio valor"/>
  </r>
  <r>
    <x v="16"/>
    <x v="1"/>
    <s v="PR"/>
    <x v="2"/>
    <n v="6886"/>
    <n v="4752.08"/>
    <s v="Ativo"/>
    <n v="0.30989253557943652"/>
    <s v="Médio valor"/>
  </r>
  <r>
    <x v="16"/>
    <x v="1"/>
    <s v="PR"/>
    <x v="3"/>
    <n v="9075"/>
    <n v="5930.96"/>
    <s v="Ativo"/>
    <n v="0.34645068870523416"/>
    <s v="Médio valor"/>
  </r>
  <r>
    <x v="16"/>
    <x v="1"/>
    <s v="PR"/>
    <x v="4"/>
    <n v="48175"/>
    <n v="29853.8"/>
    <s v="Ativo"/>
    <n v="0.38030513751946032"/>
    <s v="Médio valor"/>
  </r>
  <r>
    <x v="16"/>
    <x v="1"/>
    <s v="PR"/>
    <x v="5"/>
    <n v="16414"/>
    <n v="9320.2800000000007"/>
    <s v="Ativo"/>
    <n v="0.43217497258437915"/>
    <s v="Médio valor"/>
  </r>
  <r>
    <x v="17"/>
    <x v="1"/>
    <s v="PE"/>
    <x v="0"/>
    <n v="27340"/>
    <n v="20171.79"/>
    <s v="Ativo"/>
    <n v="0.26218763716166787"/>
    <s v="Baixo valor"/>
  </r>
  <r>
    <x v="17"/>
    <x v="1"/>
    <s v="PE"/>
    <x v="1"/>
    <n v="4440"/>
    <n v="2998.63"/>
    <s v="Ativo"/>
    <n v="0.32463288288288283"/>
    <s v="Baixo valor"/>
  </r>
  <r>
    <x v="17"/>
    <x v="1"/>
    <s v="PE"/>
    <x v="2"/>
    <n v="19562"/>
    <n v="13386.39"/>
    <s v="Ativo"/>
    <n v="0.31569420304672324"/>
    <s v="Baixo valor"/>
  </r>
  <r>
    <x v="17"/>
    <x v="1"/>
    <s v="PE"/>
    <x v="3"/>
    <n v="28803"/>
    <n v="19236.2"/>
    <s v="Cancelado"/>
    <n v="0.33214595701836613"/>
    <s v="Baixo valor"/>
  </r>
  <r>
    <x v="17"/>
    <x v="1"/>
    <s v="PE"/>
    <x v="4"/>
    <n v="4109"/>
    <n v="2744.43"/>
    <s v="Ativo"/>
    <n v="0.33209296665855442"/>
    <s v="Baixo valor"/>
  </r>
  <r>
    <x v="17"/>
    <x v="1"/>
    <s v="PE"/>
    <x v="5"/>
    <n v="31357"/>
    <n v="16100.28"/>
    <s v="Ativo"/>
    <n v="0.48654909589565326"/>
    <s v="Baixo valor"/>
  </r>
  <r>
    <x v="18"/>
    <x v="2"/>
    <s v="CE"/>
    <x v="0"/>
    <n v="41566"/>
    <n v="32942.39"/>
    <s v="Cancelado"/>
    <n v="0.2074678824038878"/>
    <s v="Baixo valor"/>
  </r>
  <r>
    <x v="18"/>
    <x v="2"/>
    <s v="CE"/>
    <x v="1"/>
    <n v="28545"/>
    <n v="16020.18"/>
    <s v="Cancelado"/>
    <n v="0.43877456647398844"/>
    <s v="Baixo valor"/>
  </r>
  <r>
    <x v="18"/>
    <x v="2"/>
    <s v="CE"/>
    <x v="2"/>
    <n v="41648"/>
    <n v="29490.26"/>
    <s v="Ativo"/>
    <n v="0.291916538609297"/>
    <s v="Baixo valor"/>
  </r>
  <r>
    <x v="18"/>
    <x v="2"/>
    <s v="CE"/>
    <x v="3"/>
    <n v="32796"/>
    <n v="18084.97"/>
    <s v="Ativo"/>
    <n v="0.44856171484327351"/>
    <s v="Baixo valor"/>
  </r>
  <r>
    <x v="18"/>
    <x v="2"/>
    <s v="CE"/>
    <x v="4"/>
    <n v="34248"/>
    <n v="24271.84"/>
    <s v="Ativo"/>
    <n v="0.29129175426302267"/>
    <s v="Baixo valor"/>
  </r>
  <r>
    <x v="18"/>
    <x v="2"/>
    <s v="CE"/>
    <x v="5"/>
    <n v="44925"/>
    <n v="29388.29"/>
    <s v="Ativo"/>
    <n v="0.3458366165831942"/>
    <s v="Baixo valor"/>
  </r>
  <r>
    <x v="19"/>
    <x v="0"/>
    <s v="RS"/>
    <x v="0"/>
    <n v="48541"/>
    <n v="36120.78"/>
    <s v="Cancelado"/>
    <n v="0.25587070723718097"/>
    <s v="Baixo valor"/>
  </r>
  <r>
    <x v="19"/>
    <x v="0"/>
    <s v="RS"/>
    <x v="1"/>
    <n v="35551"/>
    <n v="17828.689999999999"/>
    <s v="Ativo"/>
    <n v="0.49850383955444294"/>
    <s v="Baixo valor"/>
  </r>
  <r>
    <x v="19"/>
    <x v="0"/>
    <s v="RS"/>
    <x v="2"/>
    <n v="17876"/>
    <n v="9630.52"/>
    <s v="Ativo"/>
    <n v="0.46125978966211678"/>
    <s v="Baixo valor"/>
  </r>
  <r>
    <x v="19"/>
    <x v="0"/>
    <s v="RS"/>
    <x v="3"/>
    <n v="47298"/>
    <n v="33202.06"/>
    <s v="Cancelado"/>
    <n v="0.29802401792887656"/>
    <s v="Baixo valor"/>
  </r>
  <r>
    <x v="19"/>
    <x v="0"/>
    <s v="RS"/>
    <x v="4"/>
    <n v="35483"/>
    <n v="21822.63"/>
    <s v="Ativo"/>
    <n v="0.38498351323168839"/>
    <s v="Baixo valor"/>
  </r>
  <r>
    <x v="19"/>
    <x v="0"/>
    <s v="RS"/>
    <x v="5"/>
    <n v="45775"/>
    <n v="24058.34"/>
    <s v="Ativo"/>
    <n v="0.47442184598580012"/>
    <s v="Baixo valor"/>
  </r>
  <r>
    <x v="20"/>
    <x v="0"/>
    <s v="RS"/>
    <x v="0"/>
    <n v="41749"/>
    <n v="22746.78"/>
    <s v="Ativo"/>
    <n v="0.45515389590169825"/>
    <s v="Médio valor"/>
  </r>
  <r>
    <x v="20"/>
    <x v="0"/>
    <s v="RS"/>
    <x v="1"/>
    <n v="47188"/>
    <n v="26456.58"/>
    <s v="Ativo"/>
    <n v="0.43933669577011103"/>
    <s v="Médio valor"/>
  </r>
  <r>
    <x v="20"/>
    <x v="0"/>
    <s v="RS"/>
    <x v="2"/>
    <n v="6239"/>
    <n v="3881.52"/>
    <s v="Ativo"/>
    <n v="0.37786183683282576"/>
    <s v="Médio valor"/>
  </r>
  <r>
    <x v="20"/>
    <x v="0"/>
    <s v="RS"/>
    <x v="3"/>
    <n v="25102"/>
    <n v="12979.96"/>
    <s v="Ativo"/>
    <n v="0.48291132180702734"/>
    <s v="Médio valor"/>
  </r>
  <r>
    <x v="20"/>
    <x v="0"/>
    <s v="RS"/>
    <x v="4"/>
    <n v="47907"/>
    <n v="26995.23"/>
    <s v="Cancelado"/>
    <n v="0.4365076084914522"/>
    <s v="Médio valor"/>
  </r>
  <r>
    <x v="20"/>
    <x v="0"/>
    <s v="RS"/>
    <x v="5"/>
    <n v="32310"/>
    <n v="22971.5"/>
    <s v="Ativo"/>
    <n v="0.28902816465490561"/>
    <s v="Médio valor"/>
  </r>
  <r>
    <x v="21"/>
    <x v="1"/>
    <s v="MG"/>
    <x v="0"/>
    <n v="20008"/>
    <n v="14046.47"/>
    <s v="Ativo"/>
    <n v="0.29795731707317075"/>
    <s v="Baixo valor"/>
  </r>
  <r>
    <x v="21"/>
    <x v="1"/>
    <s v="MG"/>
    <x v="1"/>
    <n v="43449"/>
    <n v="34223.31"/>
    <s v="Ativo"/>
    <n v="0.21233377062763245"/>
    <s v="Baixo valor"/>
  </r>
  <r>
    <x v="21"/>
    <x v="1"/>
    <s v="MG"/>
    <x v="2"/>
    <n v="31682"/>
    <n v="18524.57"/>
    <s v="Ativo"/>
    <n v="0.41529669844075501"/>
    <s v="Baixo valor"/>
  </r>
  <r>
    <x v="21"/>
    <x v="1"/>
    <s v="MG"/>
    <x v="3"/>
    <n v="48767"/>
    <n v="27985.18"/>
    <s v="Cancelado"/>
    <n v="0.42614513913096969"/>
    <s v="Baixo valor"/>
  </r>
  <r>
    <x v="21"/>
    <x v="1"/>
    <s v="MG"/>
    <x v="4"/>
    <n v="37251"/>
    <n v="24543.64"/>
    <s v="Ativo"/>
    <n v="0.34112802340876758"/>
    <s v="Baixo valor"/>
  </r>
  <r>
    <x v="21"/>
    <x v="1"/>
    <s v="MG"/>
    <x v="5"/>
    <n v="22468"/>
    <n v="14987.05"/>
    <s v="Cancelado"/>
    <n v="0.33296021007655335"/>
    <s v="Baixo valor"/>
  </r>
  <r>
    <x v="22"/>
    <x v="2"/>
    <s v="MG"/>
    <x v="0"/>
    <n v="46567"/>
    <n v="29089.37"/>
    <s v="Ativo"/>
    <n v="0.37532222389245606"/>
    <s v="Médio valor"/>
  </r>
  <r>
    <x v="22"/>
    <x v="2"/>
    <s v="MG"/>
    <x v="1"/>
    <n v="6613"/>
    <n v="3705.14"/>
    <s v="Cancelado"/>
    <n v="0.43971873582337823"/>
    <s v="Médio valor"/>
  </r>
  <r>
    <x v="22"/>
    <x v="2"/>
    <s v="MG"/>
    <x v="2"/>
    <n v="46185"/>
    <n v="36169.870000000003"/>
    <s v="Ativo"/>
    <n v="0.21684811085850378"/>
    <s v="Médio valor"/>
  </r>
  <r>
    <x v="22"/>
    <x v="2"/>
    <s v="MG"/>
    <x v="3"/>
    <n v="13135"/>
    <n v="8305.43"/>
    <s v="Ativo"/>
    <n v="0.36768709554625045"/>
    <s v="Médio valor"/>
  </r>
  <r>
    <x v="22"/>
    <x v="2"/>
    <s v="MG"/>
    <x v="4"/>
    <n v="24902"/>
    <n v="18556.7"/>
    <s v="Ativo"/>
    <n v="0.25481085856557706"/>
    <s v="Médio valor"/>
  </r>
  <r>
    <x v="22"/>
    <x v="2"/>
    <s v="MG"/>
    <x v="5"/>
    <n v="21992"/>
    <n v="13248.44"/>
    <s v="Cancelado"/>
    <n v="0.39757911967988357"/>
    <s v="Médio valor"/>
  </r>
  <r>
    <x v="23"/>
    <x v="1"/>
    <s v="SC"/>
    <x v="0"/>
    <n v="43954"/>
    <n v="23015.58"/>
    <s v="Ativo"/>
    <n v="0.47637120626109108"/>
    <s v="Médio valor"/>
  </r>
  <r>
    <x v="23"/>
    <x v="1"/>
    <s v="SC"/>
    <x v="1"/>
    <n v="17602"/>
    <n v="10768.44"/>
    <s v="Ativo"/>
    <n v="0.38822633791614586"/>
    <s v="Médio valor"/>
  </r>
  <r>
    <x v="23"/>
    <x v="1"/>
    <s v="SC"/>
    <x v="2"/>
    <n v="49685"/>
    <n v="28990.560000000001"/>
    <s v="Ativo"/>
    <n v="0.41651283083425578"/>
    <s v="Médio valor"/>
  </r>
  <r>
    <x v="23"/>
    <x v="1"/>
    <s v="SC"/>
    <x v="3"/>
    <n v="42082"/>
    <n v="29531.18"/>
    <s v="Ativo"/>
    <n v="0.2982467563328739"/>
    <s v="Médio valor"/>
  </r>
  <r>
    <x v="23"/>
    <x v="1"/>
    <s v="SC"/>
    <x v="4"/>
    <n v="43161"/>
    <n v="28077.29"/>
    <s v="Ativo"/>
    <n v="0.34947545237598754"/>
    <s v="Médio valor"/>
  </r>
  <r>
    <x v="23"/>
    <x v="1"/>
    <s v="SC"/>
    <x v="5"/>
    <n v="36095"/>
    <n v="19061.560000000001"/>
    <s v="Ativo"/>
    <n v="0.47190580412799554"/>
    <s v="Médio valor"/>
  </r>
  <r>
    <x v="24"/>
    <x v="2"/>
    <s v="DF"/>
    <x v="0"/>
    <n v="11107"/>
    <n v="7488.07"/>
    <s v="Ativo"/>
    <n v="0.32582425497434053"/>
    <s v="Médio valor"/>
  </r>
  <r>
    <x v="24"/>
    <x v="2"/>
    <s v="DF"/>
    <x v="1"/>
    <n v="26020"/>
    <n v="19148.64"/>
    <s v="Ativo"/>
    <n v="0.26407993850883937"/>
    <s v="Médio valor"/>
  </r>
  <r>
    <x v="24"/>
    <x v="2"/>
    <s v="DF"/>
    <x v="2"/>
    <n v="25224"/>
    <n v="19123.689999999999"/>
    <s v="Cancelado"/>
    <n v="0.24184546463685383"/>
    <s v="Médio valor"/>
  </r>
  <r>
    <x v="24"/>
    <x v="2"/>
    <s v="DF"/>
    <x v="3"/>
    <n v="20585"/>
    <n v="15216.51"/>
    <s v="Ativo"/>
    <n v="0.26079621083313093"/>
    <s v="Médio valor"/>
  </r>
  <r>
    <x v="24"/>
    <x v="2"/>
    <s v="DF"/>
    <x v="4"/>
    <n v="45898"/>
    <n v="32565.43"/>
    <s v="Cancelado"/>
    <n v="0.29048259183406683"/>
    <s v="Médio valor"/>
  </r>
  <r>
    <x v="24"/>
    <x v="2"/>
    <s v="DF"/>
    <x v="5"/>
    <n v="9265"/>
    <n v="7037.71"/>
    <s v="Ativo"/>
    <n v="0.24039827307069617"/>
    <s v="Médio valor"/>
  </r>
  <r>
    <x v="25"/>
    <x v="0"/>
    <s v="RS"/>
    <x v="0"/>
    <n v="7187"/>
    <n v="5587.8"/>
    <s v="Ativo"/>
    <n v="0.22251287046055376"/>
    <s v="Baixo valor"/>
  </r>
  <r>
    <x v="25"/>
    <x v="0"/>
    <s v="RS"/>
    <x v="1"/>
    <n v="41871"/>
    <n v="30230.080000000002"/>
    <s v="Ativo"/>
    <n v="0.27801867641088102"/>
    <s v="Baixo valor"/>
  </r>
  <r>
    <x v="25"/>
    <x v="0"/>
    <s v="RS"/>
    <x v="2"/>
    <n v="11067"/>
    <n v="5741.22"/>
    <s v="Ativo"/>
    <n v="0.48123068582271616"/>
    <s v="Baixo valor"/>
  </r>
  <r>
    <x v="25"/>
    <x v="0"/>
    <s v="RS"/>
    <x v="3"/>
    <n v="6830"/>
    <n v="4184.37"/>
    <s v="Ativo"/>
    <n v="0.38735431918008784"/>
    <s v="Baixo valor"/>
  </r>
  <r>
    <x v="25"/>
    <x v="0"/>
    <s v="RS"/>
    <x v="4"/>
    <n v="40235"/>
    <n v="23150.44"/>
    <s v="Ativo"/>
    <n v="0.42461936125264077"/>
    <s v="Baixo valor"/>
  </r>
  <r>
    <x v="25"/>
    <x v="0"/>
    <s v="RS"/>
    <x v="5"/>
    <n v="35425"/>
    <n v="21884.63"/>
    <s v="Ativo"/>
    <n v="0.38222639378969653"/>
    <s v="Baixo valor"/>
  </r>
  <r>
    <x v="26"/>
    <x v="2"/>
    <s v="CE"/>
    <x v="0"/>
    <n v="28969"/>
    <n v="20582.7"/>
    <s v="Ativo"/>
    <n v="0.28949221581690771"/>
    <s v="Baixo valor"/>
  </r>
  <r>
    <x v="26"/>
    <x v="2"/>
    <s v="CE"/>
    <x v="1"/>
    <n v="2386"/>
    <n v="1690.13"/>
    <s v="Ativo"/>
    <n v="0.29164710813076272"/>
    <s v="Baixo valor"/>
  </r>
  <r>
    <x v="26"/>
    <x v="2"/>
    <s v="CE"/>
    <x v="2"/>
    <n v="40838"/>
    <n v="23362.16"/>
    <s v="Cancelado"/>
    <n v="0.42793084871933001"/>
    <s v="Baixo valor"/>
  </r>
  <r>
    <x v="26"/>
    <x v="2"/>
    <s v="CE"/>
    <x v="3"/>
    <n v="8978"/>
    <n v="5112.78"/>
    <s v="Ativo"/>
    <n v="0.43052127422588554"/>
    <s v="Baixo valor"/>
  </r>
  <r>
    <x v="26"/>
    <x v="2"/>
    <s v="CE"/>
    <x v="4"/>
    <n v="27839"/>
    <n v="17335.05"/>
    <s v="Ativo"/>
    <n v="0.37731060742124362"/>
    <s v="Baixo valor"/>
  </r>
  <r>
    <x v="26"/>
    <x v="2"/>
    <s v="CE"/>
    <x v="5"/>
    <n v="39248"/>
    <n v="22489.65"/>
    <s v="Ativo"/>
    <n v="0.42698608846310637"/>
    <s v="Baixo valor"/>
  </r>
  <r>
    <x v="27"/>
    <x v="2"/>
    <s v="MG"/>
    <x v="0"/>
    <n v="23771"/>
    <n v="18909.580000000002"/>
    <s v="Cancelado"/>
    <n v="0.20451053805056574"/>
    <s v="Baixo valor"/>
  </r>
  <r>
    <x v="27"/>
    <x v="2"/>
    <s v="MG"/>
    <x v="1"/>
    <n v="34600"/>
    <n v="27023.13"/>
    <s v="Cancelado"/>
    <n v="0.21898468208092484"/>
    <s v="Baixo valor"/>
  </r>
  <r>
    <x v="27"/>
    <x v="2"/>
    <s v="MG"/>
    <x v="2"/>
    <n v="22016"/>
    <n v="14173.99"/>
    <s v="Ativo"/>
    <n v="0.35619594840116281"/>
    <s v="Baixo valor"/>
  </r>
  <r>
    <x v="27"/>
    <x v="2"/>
    <s v="MG"/>
    <x v="3"/>
    <n v="8422"/>
    <n v="4549.87"/>
    <s v="Ativo"/>
    <n v="0.45976371408216576"/>
    <s v="Baixo valor"/>
  </r>
  <r>
    <x v="27"/>
    <x v="2"/>
    <s v="MG"/>
    <x v="4"/>
    <n v="30851"/>
    <n v="17088.32"/>
    <s v="Ativo"/>
    <n v="0.44610158503776215"/>
    <s v="Baixo valor"/>
  </r>
  <r>
    <x v="27"/>
    <x v="2"/>
    <s v="MG"/>
    <x v="5"/>
    <n v="10593"/>
    <n v="5393.04"/>
    <s v="Cancelado"/>
    <n v="0.49088643443783631"/>
    <s v="Baixo valor"/>
  </r>
  <r>
    <x v="28"/>
    <x v="2"/>
    <s v="PR"/>
    <x v="0"/>
    <n v="39501"/>
    <n v="21731.37"/>
    <s v="Ativo"/>
    <n v="0.44985266195792512"/>
    <s v="Médio valor"/>
  </r>
  <r>
    <x v="28"/>
    <x v="2"/>
    <s v="PR"/>
    <x v="1"/>
    <n v="34417"/>
    <n v="21307.68"/>
    <s v="Ativo"/>
    <n v="0.380896649911381"/>
    <s v="Médio valor"/>
  </r>
  <r>
    <x v="28"/>
    <x v="2"/>
    <s v="PR"/>
    <x v="2"/>
    <n v="21078"/>
    <n v="16782.36"/>
    <s v="Ativo"/>
    <n v="0.20379732422430968"/>
    <s v="Médio valor"/>
  </r>
  <r>
    <x v="28"/>
    <x v="2"/>
    <s v="PR"/>
    <x v="3"/>
    <n v="33430"/>
    <n v="22323.15"/>
    <s v="Ativo"/>
    <n v="0.33224199820520484"/>
    <s v="Médio valor"/>
  </r>
  <r>
    <x v="28"/>
    <x v="2"/>
    <s v="PR"/>
    <x v="4"/>
    <n v="43196"/>
    <n v="28280.79"/>
    <s v="Ativo"/>
    <n v="0.34529146217242335"/>
    <s v="Médio valor"/>
  </r>
  <r>
    <x v="28"/>
    <x v="2"/>
    <s v="PR"/>
    <x v="5"/>
    <n v="40074"/>
    <n v="28216.23"/>
    <s v="Ativo"/>
    <n v="0.29589684084443779"/>
    <s v="Médio valor"/>
  </r>
  <r>
    <x v="29"/>
    <x v="1"/>
    <s v="SP"/>
    <x v="0"/>
    <n v="15094"/>
    <n v="9779.6200000000008"/>
    <s v="Ativo"/>
    <n v="0.35208559692593078"/>
    <s v="Médio valor"/>
  </r>
  <r>
    <x v="29"/>
    <x v="1"/>
    <s v="SP"/>
    <x v="1"/>
    <n v="18751"/>
    <n v="12296.08"/>
    <s v="Ativo"/>
    <n v="0.34424404031784972"/>
    <s v="Médio valor"/>
  </r>
  <r>
    <x v="29"/>
    <x v="1"/>
    <s v="SP"/>
    <x v="2"/>
    <n v="21586"/>
    <n v="14257.13"/>
    <s v="Ativo"/>
    <n v="0.3395195960344668"/>
    <s v="Médio valor"/>
  </r>
  <r>
    <x v="29"/>
    <x v="1"/>
    <s v="SP"/>
    <x v="3"/>
    <n v="48315"/>
    <n v="27348.19"/>
    <s v="Ativo"/>
    <n v="0.43396067473869404"/>
    <s v="Médio valor"/>
  </r>
  <r>
    <x v="29"/>
    <x v="1"/>
    <s v="SP"/>
    <x v="4"/>
    <n v="7391"/>
    <n v="4785.66"/>
    <s v="Ativo"/>
    <n v="0.35250169124611014"/>
    <s v="Médio valor"/>
  </r>
  <r>
    <x v="29"/>
    <x v="1"/>
    <s v="SP"/>
    <x v="5"/>
    <n v="40885"/>
    <n v="25475.49"/>
    <s v="Ativo"/>
    <n v="0.37689886266356848"/>
    <s v="Médio valor"/>
  </r>
  <r>
    <x v="30"/>
    <x v="1"/>
    <s v="PE"/>
    <x v="0"/>
    <n v="31309"/>
    <n v="17589.259999999998"/>
    <s v="Ativo"/>
    <n v="0.43820435018684728"/>
    <s v="Médio valor"/>
  </r>
  <r>
    <x v="30"/>
    <x v="1"/>
    <s v="PE"/>
    <x v="1"/>
    <n v="45790"/>
    <n v="26250.04"/>
    <s v="Ativo"/>
    <n v="0.42672985367984273"/>
    <s v="Médio valor"/>
  </r>
  <r>
    <x v="30"/>
    <x v="1"/>
    <s v="PE"/>
    <x v="2"/>
    <n v="21228"/>
    <n v="12613.07"/>
    <s v="Ativo"/>
    <n v="0.40582862257395891"/>
    <s v="Médio valor"/>
  </r>
  <r>
    <x v="30"/>
    <x v="1"/>
    <s v="PE"/>
    <x v="3"/>
    <n v="26281"/>
    <n v="17326.93"/>
    <s v="Ativo"/>
    <n v="0.34070507210532325"/>
    <s v="Médio valor"/>
  </r>
  <r>
    <x v="30"/>
    <x v="1"/>
    <s v="PE"/>
    <x v="4"/>
    <n v="48670"/>
    <n v="31177.5"/>
    <s v="Ativo"/>
    <n v="0.35941031436203003"/>
    <s v="Médio valor"/>
  </r>
  <r>
    <x v="30"/>
    <x v="1"/>
    <s v="PE"/>
    <x v="5"/>
    <n v="9641"/>
    <n v="5233.71"/>
    <s v="Ativo"/>
    <n v="0.45714033813919719"/>
    <s v="Médio valor"/>
  </r>
  <r>
    <x v="31"/>
    <x v="1"/>
    <s v="PE"/>
    <x v="0"/>
    <n v="41093"/>
    <n v="21922.26"/>
    <s v="Ativo"/>
    <n v="0.46652081863091044"/>
    <s v="Médio valor"/>
  </r>
  <r>
    <x v="31"/>
    <x v="1"/>
    <s v="PE"/>
    <x v="1"/>
    <n v="33173"/>
    <n v="20052.14"/>
    <s v="Ativo"/>
    <n v="0.3955282910800953"/>
    <s v="Médio valor"/>
  </r>
  <r>
    <x v="31"/>
    <x v="1"/>
    <s v="PE"/>
    <x v="2"/>
    <n v="18640"/>
    <n v="14768.53"/>
    <s v="Cancelado"/>
    <n v="0.20769688841201714"/>
    <s v="Médio valor"/>
  </r>
  <r>
    <x v="31"/>
    <x v="1"/>
    <s v="PE"/>
    <x v="3"/>
    <n v="48010"/>
    <n v="27199.53"/>
    <s v="Ativo"/>
    <n v="0.43346115392626539"/>
    <s v="Médio valor"/>
  </r>
  <r>
    <x v="31"/>
    <x v="1"/>
    <s v="PE"/>
    <x v="4"/>
    <n v="29485"/>
    <n v="19892.98"/>
    <s v="Ativo"/>
    <n v="0.32531863659487875"/>
    <s v="Médio valor"/>
  </r>
  <r>
    <x v="31"/>
    <x v="1"/>
    <s v="PE"/>
    <x v="5"/>
    <n v="34752"/>
    <n v="22927.79"/>
    <s v="Ativo"/>
    <n v="0.34024545349907914"/>
    <s v="Médio valor"/>
  </r>
  <r>
    <x v="32"/>
    <x v="1"/>
    <s v="PR"/>
    <x v="0"/>
    <n v="40656"/>
    <n v="22704.400000000001"/>
    <s v="Ativo"/>
    <n v="0.44154860291223924"/>
    <s v="Médio valor"/>
  </r>
  <r>
    <x v="32"/>
    <x v="1"/>
    <s v="PR"/>
    <x v="1"/>
    <n v="24304"/>
    <n v="13621.69"/>
    <s v="Ativo"/>
    <n v="0.43952888413429886"/>
    <s v="Médio valor"/>
  </r>
  <r>
    <x v="32"/>
    <x v="1"/>
    <s v="PR"/>
    <x v="2"/>
    <n v="37193"/>
    <n v="20562.38"/>
    <s v="Ativo"/>
    <n v="0.44714381738499176"/>
    <s v="Médio valor"/>
  </r>
  <r>
    <x v="32"/>
    <x v="1"/>
    <s v="PR"/>
    <x v="3"/>
    <n v="21609"/>
    <n v="17177.59"/>
    <s v="Ativo"/>
    <n v="0.20507242352723401"/>
    <s v="Médio valor"/>
  </r>
  <r>
    <x v="32"/>
    <x v="1"/>
    <s v="PR"/>
    <x v="4"/>
    <n v="43085"/>
    <n v="33285.85"/>
    <s v="Ativo"/>
    <n v="0.22743762330277362"/>
    <s v="Médio valor"/>
  </r>
  <r>
    <x v="32"/>
    <x v="1"/>
    <s v="PR"/>
    <x v="5"/>
    <n v="11558"/>
    <n v="6060.8"/>
    <s v="Ativo"/>
    <n v="0.4756186191382592"/>
    <s v="Médio valor"/>
  </r>
  <r>
    <x v="33"/>
    <x v="0"/>
    <s v="PE"/>
    <x v="0"/>
    <n v="16766"/>
    <n v="8582.17"/>
    <s v="Ativo"/>
    <n v="0.48812060121674816"/>
    <s v="Médio valor"/>
  </r>
  <r>
    <x v="33"/>
    <x v="0"/>
    <s v="PE"/>
    <x v="1"/>
    <n v="23489"/>
    <n v="15820.6"/>
    <s v="Ativo"/>
    <n v="0.3264677082889863"/>
    <s v="Médio valor"/>
  </r>
  <r>
    <x v="33"/>
    <x v="0"/>
    <s v="PE"/>
    <x v="2"/>
    <n v="39691"/>
    <n v="23553.52"/>
    <s v="Cancelado"/>
    <n v="0.40657781361013828"/>
    <s v="Médio valor"/>
  </r>
  <r>
    <x v="33"/>
    <x v="0"/>
    <s v="PE"/>
    <x v="3"/>
    <n v="31187"/>
    <n v="24444.18"/>
    <s v="Ativo"/>
    <n v="0.21620611152082597"/>
    <s v="Médio valor"/>
  </r>
  <r>
    <x v="33"/>
    <x v="0"/>
    <s v="PE"/>
    <x v="4"/>
    <n v="48779"/>
    <n v="25101.9"/>
    <s v="Ativo"/>
    <n v="0.48539535455831401"/>
    <s v="Médio valor"/>
  </r>
  <r>
    <x v="33"/>
    <x v="0"/>
    <s v="PE"/>
    <x v="5"/>
    <n v="23356"/>
    <n v="16493.52"/>
    <s v="Ativo"/>
    <n v="0.29382085973625621"/>
    <s v="Médio valor"/>
  </r>
  <r>
    <x v="34"/>
    <x v="0"/>
    <s v="PE"/>
    <x v="0"/>
    <n v="44167"/>
    <n v="31937.48"/>
    <s v="Ativo"/>
    <n v="0.27689270269658345"/>
    <s v="Baixo valor"/>
  </r>
  <r>
    <x v="34"/>
    <x v="0"/>
    <s v="PE"/>
    <x v="1"/>
    <n v="15485"/>
    <n v="9387.8700000000008"/>
    <s v="Ativo"/>
    <n v="0.39374426864707779"/>
    <s v="Baixo valor"/>
  </r>
  <r>
    <x v="34"/>
    <x v="0"/>
    <s v="PE"/>
    <x v="2"/>
    <n v="38762"/>
    <n v="19724.79"/>
    <s v="Cancelado"/>
    <n v="0.49113074660750217"/>
    <s v="Baixo valor"/>
  </r>
  <r>
    <x v="34"/>
    <x v="0"/>
    <s v="PE"/>
    <x v="3"/>
    <n v="16173"/>
    <n v="10475.1"/>
    <s v="Ativo"/>
    <n v="0.35230940456316079"/>
    <s v="Baixo valor"/>
  </r>
  <r>
    <x v="34"/>
    <x v="0"/>
    <s v="PE"/>
    <x v="4"/>
    <n v="6759"/>
    <n v="4409.12"/>
    <s v="Ativo"/>
    <n v="0.347666814617547"/>
    <s v="Baixo valor"/>
  </r>
  <r>
    <x v="34"/>
    <x v="0"/>
    <s v="PE"/>
    <x v="5"/>
    <n v="28458"/>
    <n v="20445.29"/>
    <s v="Ativo"/>
    <n v="0.28156265373532924"/>
    <s v="Baixo valor"/>
  </r>
  <r>
    <x v="35"/>
    <x v="1"/>
    <s v="SP"/>
    <x v="0"/>
    <n v="12535"/>
    <n v="7983.67"/>
    <s v="Ativo"/>
    <n v="0.36308974870362981"/>
    <s v="Médio valor"/>
  </r>
  <r>
    <x v="35"/>
    <x v="1"/>
    <s v="SP"/>
    <x v="1"/>
    <n v="27318"/>
    <n v="16716.759999999998"/>
    <s v="Ativo"/>
    <n v="0.38806794055201704"/>
    <s v="Médio valor"/>
  </r>
  <r>
    <x v="35"/>
    <x v="1"/>
    <s v="SP"/>
    <x v="2"/>
    <n v="40616"/>
    <n v="31661.94"/>
    <s v="Cancelado"/>
    <n v="0.22045647035650978"/>
    <s v="Médio valor"/>
  </r>
  <r>
    <x v="35"/>
    <x v="1"/>
    <s v="SP"/>
    <x v="3"/>
    <n v="11782"/>
    <n v="8272.6299999999992"/>
    <s v="Ativo"/>
    <n v="0.29785859786114416"/>
    <s v="Médio valor"/>
  </r>
  <r>
    <x v="35"/>
    <x v="1"/>
    <s v="SP"/>
    <x v="4"/>
    <n v="15728"/>
    <n v="9077.73"/>
    <s v="Ativo"/>
    <n v="0.42282998474059008"/>
    <s v="Médio valor"/>
  </r>
  <r>
    <x v="35"/>
    <x v="1"/>
    <s v="SP"/>
    <x v="5"/>
    <n v="43830"/>
    <n v="29407.77"/>
    <s v="Ativo"/>
    <n v="0.32904928131416838"/>
    <s v="Médio valor"/>
  </r>
  <r>
    <x v="36"/>
    <x v="2"/>
    <s v="RS"/>
    <x v="0"/>
    <n v="34278"/>
    <n v="26604.97"/>
    <s v="Ativo"/>
    <n v="0.22384707392496642"/>
    <s v="Baixo valor"/>
  </r>
  <r>
    <x v="36"/>
    <x v="2"/>
    <s v="RS"/>
    <x v="1"/>
    <n v="9274"/>
    <n v="6476.54"/>
    <s v="Ativo"/>
    <n v="0.30164546042700024"/>
    <s v="Baixo valor"/>
  </r>
  <r>
    <x v="36"/>
    <x v="2"/>
    <s v="RS"/>
    <x v="2"/>
    <n v="25990"/>
    <n v="18117.98"/>
    <s v="Ativo"/>
    <n v="0.30288649480569452"/>
    <s v="Baixo valor"/>
  </r>
  <r>
    <x v="36"/>
    <x v="2"/>
    <s v="RS"/>
    <x v="3"/>
    <n v="22422"/>
    <n v="15188.46"/>
    <s v="Cancelado"/>
    <n v="0.32260904468825263"/>
    <s v="Baixo valor"/>
  </r>
  <r>
    <x v="36"/>
    <x v="2"/>
    <s v="RS"/>
    <x v="4"/>
    <n v="49124"/>
    <n v="33639.35"/>
    <s v="Cancelado"/>
    <n v="0.31521557690741797"/>
    <s v="Baixo valor"/>
  </r>
  <r>
    <x v="36"/>
    <x v="2"/>
    <s v="RS"/>
    <x v="5"/>
    <n v="34747"/>
    <n v="18622.79"/>
    <s v="Ativo"/>
    <n v="0.46404610469968627"/>
    <s v="Baixo valor"/>
  </r>
  <r>
    <x v="37"/>
    <x v="1"/>
    <s v="MG"/>
    <x v="0"/>
    <n v="37824"/>
    <n v="19545.88"/>
    <s v="Ativo"/>
    <n v="0.48324132825719118"/>
    <s v="Médio valor"/>
  </r>
  <r>
    <x v="37"/>
    <x v="1"/>
    <s v="MG"/>
    <x v="1"/>
    <n v="33725"/>
    <n v="22500.58"/>
    <s v="Ativo"/>
    <n v="0.33282194217939209"/>
    <s v="Médio valor"/>
  </r>
  <r>
    <x v="37"/>
    <x v="1"/>
    <s v="MG"/>
    <x v="2"/>
    <n v="47708"/>
    <n v="33859.769999999997"/>
    <s v="Ativo"/>
    <n v="0.29027060451077397"/>
    <s v="Médio valor"/>
  </r>
  <r>
    <x v="37"/>
    <x v="1"/>
    <s v="MG"/>
    <x v="3"/>
    <n v="41937"/>
    <n v="30594.46"/>
    <s v="Ativo"/>
    <n v="0.2704661754536567"/>
    <s v="Médio valor"/>
  </r>
  <r>
    <x v="37"/>
    <x v="1"/>
    <s v="MG"/>
    <x v="4"/>
    <n v="4864"/>
    <n v="2457.63"/>
    <s v="Ativo"/>
    <n v="0.49473067434210521"/>
    <s v="Médio valor"/>
  </r>
  <r>
    <x v="37"/>
    <x v="1"/>
    <s v="MG"/>
    <x v="5"/>
    <n v="9238"/>
    <n v="6623.4"/>
    <s v="Ativo"/>
    <n v="0.28302662914050664"/>
    <s v="Médio valor"/>
  </r>
  <r>
    <x v="38"/>
    <x v="2"/>
    <s v="DF"/>
    <x v="0"/>
    <n v="44774"/>
    <n v="28511.23"/>
    <s v="Ativo"/>
    <n v="0.36321905570196988"/>
    <s v="Médio valor"/>
  </r>
  <r>
    <x v="38"/>
    <x v="2"/>
    <s v="DF"/>
    <x v="1"/>
    <n v="46815"/>
    <n v="24877.21"/>
    <s v="Ativo"/>
    <n v="0.46860600234967426"/>
    <s v="Médio valor"/>
  </r>
  <r>
    <x v="38"/>
    <x v="2"/>
    <s v="DF"/>
    <x v="2"/>
    <n v="10474"/>
    <n v="8095.69"/>
    <s v="Ativo"/>
    <n v="0.22706797784991412"/>
    <s v="Médio valor"/>
  </r>
  <r>
    <x v="38"/>
    <x v="2"/>
    <s v="DF"/>
    <x v="3"/>
    <n v="11251"/>
    <n v="7980.88"/>
    <s v="Ativo"/>
    <n v="0.29065149764465381"/>
    <s v="Médio valor"/>
  </r>
  <r>
    <x v="38"/>
    <x v="2"/>
    <s v="DF"/>
    <x v="4"/>
    <n v="37443"/>
    <n v="29053.23"/>
    <s v="Ativo"/>
    <n v="0.22406778303020591"/>
    <s v="Médio valor"/>
  </r>
  <r>
    <x v="38"/>
    <x v="2"/>
    <s v="DF"/>
    <x v="5"/>
    <n v="35749"/>
    <n v="25853.93"/>
    <s v="Ativo"/>
    <n v="0.27679291728439953"/>
    <s v="Médio valor"/>
  </r>
  <r>
    <x v="39"/>
    <x v="0"/>
    <s v="PR"/>
    <x v="0"/>
    <n v="40023"/>
    <n v="28343.45"/>
    <s v="Ativo"/>
    <n v="0.29182095295205257"/>
    <s v="Baixo valor"/>
  </r>
  <r>
    <x v="39"/>
    <x v="0"/>
    <s v="PR"/>
    <x v="1"/>
    <n v="11144"/>
    <n v="7722.01"/>
    <s v="Cancelado"/>
    <n v="0.30707017229002154"/>
    <s v="Baixo valor"/>
  </r>
  <r>
    <x v="39"/>
    <x v="0"/>
    <s v="PR"/>
    <x v="2"/>
    <n v="18478"/>
    <n v="13776.58"/>
    <s v="Ativo"/>
    <n v="0.2544333802359563"/>
    <s v="Baixo valor"/>
  </r>
  <r>
    <x v="39"/>
    <x v="0"/>
    <s v="PR"/>
    <x v="3"/>
    <n v="2095"/>
    <n v="1658.89"/>
    <s v="Ativo"/>
    <n v="0.20816706443914076"/>
    <s v="Baixo valor"/>
  </r>
  <r>
    <x v="39"/>
    <x v="0"/>
    <s v="PR"/>
    <x v="4"/>
    <n v="41794"/>
    <n v="24439.65"/>
    <s v="Ativo"/>
    <n v="0.41523544049385075"/>
    <s v="Baixo valor"/>
  </r>
  <r>
    <x v="39"/>
    <x v="0"/>
    <s v="PR"/>
    <x v="5"/>
    <n v="6042"/>
    <n v="4401.71"/>
    <s v="Ativo"/>
    <n v="0.27148129758358158"/>
    <s v="Baixo valor"/>
  </r>
  <r>
    <x v="40"/>
    <x v="0"/>
    <s v="MG"/>
    <x v="0"/>
    <n v="49189"/>
    <n v="26285.75"/>
    <s v="Ativo"/>
    <n v="0.4656173128138405"/>
    <s v="Médio valor"/>
  </r>
  <r>
    <x v="40"/>
    <x v="0"/>
    <s v="MG"/>
    <x v="1"/>
    <n v="35723"/>
    <n v="23567.49"/>
    <s v="Cancelado"/>
    <n v="0.34027125381406931"/>
    <s v="Médio valor"/>
  </r>
  <r>
    <x v="40"/>
    <x v="0"/>
    <s v="MG"/>
    <x v="2"/>
    <n v="31884"/>
    <n v="21240.77"/>
    <s v="Ativo"/>
    <n v="0.3338110023836407"/>
    <s v="Médio valor"/>
  </r>
  <r>
    <x v="40"/>
    <x v="0"/>
    <s v="MG"/>
    <x v="3"/>
    <n v="39221"/>
    <n v="24824.12"/>
    <s v="Cancelado"/>
    <n v="0.36707070191988989"/>
    <s v="Médio valor"/>
  </r>
  <r>
    <x v="40"/>
    <x v="0"/>
    <s v="MG"/>
    <x v="4"/>
    <n v="27176"/>
    <n v="20582.740000000002"/>
    <s v="Ativo"/>
    <n v="0.24261333529584922"/>
    <s v="Médio valor"/>
  </r>
  <r>
    <x v="40"/>
    <x v="0"/>
    <s v="MG"/>
    <x v="5"/>
    <n v="41925"/>
    <n v="30881.23"/>
    <s v="Ativo"/>
    <n v="0.26341729278473464"/>
    <s v="Médio valor"/>
  </r>
  <r>
    <x v="41"/>
    <x v="2"/>
    <s v="SP"/>
    <x v="0"/>
    <n v="12359"/>
    <n v="9527.25"/>
    <s v="Ativo"/>
    <n v="0.22912452463791569"/>
    <s v="Baixo valor"/>
  </r>
  <r>
    <x v="41"/>
    <x v="2"/>
    <s v="SP"/>
    <x v="1"/>
    <n v="10846"/>
    <n v="8446.7199999999993"/>
    <s v="Cancelado"/>
    <n v="0.22121335054397942"/>
    <s v="Baixo valor"/>
  </r>
  <r>
    <x v="41"/>
    <x v="2"/>
    <s v="SP"/>
    <x v="2"/>
    <n v="49109"/>
    <n v="29662.54"/>
    <s v="Ativo"/>
    <n v="0.39598566454214096"/>
    <s v="Baixo valor"/>
  </r>
  <r>
    <x v="41"/>
    <x v="2"/>
    <s v="SP"/>
    <x v="3"/>
    <n v="14581"/>
    <n v="7722.65"/>
    <s v="Ativo"/>
    <n v="0.47036211508127018"/>
    <s v="Baixo valor"/>
  </r>
  <r>
    <x v="41"/>
    <x v="2"/>
    <s v="SP"/>
    <x v="4"/>
    <n v="48615"/>
    <n v="35548.629999999997"/>
    <s v="Ativo"/>
    <n v="0.2687723953512291"/>
    <s v="Baixo valor"/>
  </r>
  <r>
    <x v="41"/>
    <x v="2"/>
    <s v="SP"/>
    <x v="5"/>
    <n v="19053"/>
    <n v="11561.88"/>
    <s v="Cancelado"/>
    <n v="0.39317272870414111"/>
    <s v="Baixo valor"/>
  </r>
  <r>
    <x v="42"/>
    <x v="1"/>
    <s v="RJ"/>
    <x v="0"/>
    <n v="3142"/>
    <n v="2045.59"/>
    <s v="Ativo"/>
    <n v="0.34895289624443032"/>
    <s v="Médio valor"/>
  </r>
  <r>
    <x v="42"/>
    <x v="1"/>
    <s v="RJ"/>
    <x v="1"/>
    <n v="31278"/>
    <n v="15750.59"/>
    <s v="Ativo"/>
    <n v="0.49643231664428672"/>
    <s v="Médio valor"/>
  </r>
  <r>
    <x v="42"/>
    <x v="1"/>
    <s v="RJ"/>
    <x v="2"/>
    <n v="29699"/>
    <n v="22527.040000000001"/>
    <s v="Cancelado"/>
    <n v="0.24148826559816827"/>
    <s v="Médio valor"/>
  </r>
  <r>
    <x v="42"/>
    <x v="1"/>
    <s v="RJ"/>
    <x v="3"/>
    <n v="26942"/>
    <n v="21009.39"/>
    <s v="Ativo"/>
    <n v="0.22019931705144385"/>
    <s v="Médio valor"/>
  </r>
  <r>
    <x v="42"/>
    <x v="1"/>
    <s v="RJ"/>
    <x v="4"/>
    <n v="23327"/>
    <n v="14661.83"/>
    <s v="Ativo"/>
    <n v="0.37146525485488918"/>
    <s v="Médio valor"/>
  </r>
  <r>
    <x v="42"/>
    <x v="1"/>
    <s v="RJ"/>
    <x v="5"/>
    <n v="32952"/>
    <n v="23166.99"/>
    <s v="Cancelado"/>
    <n v="0.29694737800436993"/>
    <s v="Médio valor"/>
  </r>
  <r>
    <x v="43"/>
    <x v="0"/>
    <s v="PE"/>
    <x v="0"/>
    <n v="23453"/>
    <n v="12067.83"/>
    <s v="Ativo"/>
    <n v="0.48544621157208034"/>
    <s v="Médio valor"/>
  </r>
  <r>
    <x v="43"/>
    <x v="0"/>
    <s v="PE"/>
    <x v="1"/>
    <n v="43994"/>
    <n v="34446.699999999997"/>
    <s v="Ativo"/>
    <n v="0.21701368368413881"/>
    <s v="Médio valor"/>
  </r>
  <r>
    <x v="43"/>
    <x v="0"/>
    <s v="PE"/>
    <x v="2"/>
    <n v="41766"/>
    <n v="24973.86"/>
    <s v="Ativo"/>
    <n v="0.40205286596753337"/>
    <s v="Médio valor"/>
  </r>
  <r>
    <x v="43"/>
    <x v="0"/>
    <s v="PE"/>
    <x v="3"/>
    <n v="21105"/>
    <n v="13020.6"/>
    <s v="Cancelado"/>
    <n v="0.38305614783226721"/>
    <s v="Médio valor"/>
  </r>
  <r>
    <x v="43"/>
    <x v="0"/>
    <s v="PE"/>
    <x v="4"/>
    <n v="23131"/>
    <n v="15599.38"/>
    <s v="Ativo"/>
    <n v="0.32560719380917386"/>
    <s v="Médio valor"/>
  </r>
  <r>
    <x v="43"/>
    <x v="0"/>
    <s v="PE"/>
    <x v="5"/>
    <n v="37588"/>
    <n v="24740.71"/>
    <s v="Ativo"/>
    <n v="0.34179232733851234"/>
    <s v="Médio valor"/>
  </r>
  <r>
    <x v="44"/>
    <x v="1"/>
    <s v="PR"/>
    <x v="0"/>
    <n v="8913"/>
    <n v="6560.5"/>
    <s v="Ativo"/>
    <n v="0.2639403119039605"/>
    <s v="Baixo valor"/>
  </r>
  <r>
    <x v="44"/>
    <x v="1"/>
    <s v="PR"/>
    <x v="1"/>
    <n v="30440"/>
    <n v="22439.75"/>
    <s v="Ativo"/>
    <n v="0.26282030223390274"/>
    <s v="Baixo valor"/>
  </r>
  <r>
    <x v="44"/>
    <x v="1"/>
    <s v="PR"/>
    <x v="2"/>
    <n v="9926"/>
    <n v="6261.24"/>
    <s v="Cancelado"/>
    <n v="0.36920814023775944"/>
    <s v="Baixo valor"/>
  </r>
  <r>
    <x v="44"/>
    <x v="1"/>
    <s v="PR"/>
    <x v="3"/>
    <n v="5240"/>
    <n v="4101.4399999999996"/>
    <s v="Ativo"/>
    <n v="0.21728244274809169"/>
    <s v="Baixo valor"/>
  </r>
  <r>
    <x v="44"/>
    <x v="1"/>
    <s v="PR"/>
    <x v="4"/>
    <n v="4200"/>
    <n v="2197.66"/>
    <s v="Ativo"/>
    <n v="0.47674761904761909"/>
    <s v="Baixo valor"/>
  </r>
  <r>
    <x v="44"/>
    <x v="1"/>
    <s v="PR"/>
    <x v="5"/>
    <n v="27942"/>
    <n v="19425.04"/>
    <s v="Cancelado"/>
    <n v="0.30480853195905799"/>
    <s v="Baixo valor"/>
  </r>
  <r>
    <x v="45"/>
    <x v="0"/>
    <s v="RS"/>
    <x v="0"/>
    <n v="37061"/>
    <n v="22688.76"/>
    <s v="Cancelado"/>
    <n v="0.38779957367583179"/>
    <s v="Médio valor"/>
  </r>
  <r>
    <x v="45"/>
    <x v="0"/>
    <s v="RS"/>
    <x v="1"/>
    <n v="22830"/>
    <n v="15899.88"/>
    <s v="Ativo"/>
    <n v="0.30355321944809466"/>
    <s v="Médio valor"/>
  </r>
  <r>
    <x v="45"/>
    <x v="0"/>
    <s v="RS"/>
    <x v="2"/>
    <n v="14502"/>
    <n v="8504.81"/>
    <s v="Ativo"/>
    <n v="0.41354227003171978"/>
    <s v="Médio valor"/>
  </r>
  <r>
    <x v="45"/>
    <x v="0"/>
    <s v="RS"/>
    <x v="3"/>
    <n v="18401"/>
    <n v="14365.3"/>
    <s v="Ativo"/>
    <n v="0.2193196021955329"/>
    <s v="Médio valor"/>
  </r>
  <r>
    <x v="45"/>
    <x v="0"/>
    <s v="RS"/>
    <x v="4"/>
    <n v="28430"/>
    <n v="18025.03"/>
    <s v="Ativo"/>
    <n v="0.36598557861414005"/>
    <s v="Médio valor"/>
  </r>
  <r>
    <x v="45"/>
    <x v="0"/>
    <s v="RS"/>
    <x v="5"/>
    <n v="48041"/>
    <n v="34255.050000000003"/>
    <s v="Ativo"/>
    <n v="0.28696217813950575"/>
    <s v="Médio valor"/>
  </r>
  <r>
    <x v="46"/>
    <x v="1"/>
    <s v="CE"/>
    <x v="0"/>
    <n v="17706"/>
    <n v="9334.02"/>
    <s v="Ativo"/>
    <n v="0.472832937987123"/>
    <s v="Médio valor"/>
  </r>
  <r>
    <x v="46"/>
    <x v="1"/>
    <s v="CE"/>
    <x v="1"/>
    <n v="10860"/>
    <n v="6655.81"/>
    <s v="Ativo"/>
    <n v="0.38712615101289133"/>
    <s v="Médio valor"/>
  </r>
  <r>
    <x v="46"/>
    <x v="1"/>
    <s v="CE"/>
    <x v="2"/>
    <n v="34348"/>
    <n v="18815.189999999999"/>
    <s v="Ativo"/>
    <n v="0.45221876091766627"/>
    <s v="Médio valor"/>
  </r>
  <r>
    <x v="46"/>
    <x v="1"/>
    <s v="CE"/>
    <x v="3"/>
    <n v="7197"/>
    <n v="3800.67"/>
    <s v="Ativo"/>
    <n v="0.4719091288036682"/>
    <s v="Médio valor"/>
  </r>
  <r>
    <x v="46"/>
    <x v="1"/>
    <s v="CE"/>
    <x v="4"/>
    <n v="28447"/>
    <n v="15127.73"/>
    <s v="Ativo"/>
    <n v="0.46821351987907339"/>
    <s v="Médio valor"/>
  </r>
  <r>
    <x v="46"/>
    <x v="1"/>
    <s v="CE"/>
    <x v="5"/>
    <n v="8571"/>
    <n v="5522.46"/>
    <s v="Ativo"/>
    <n v="0.35568078403920195"/>
    <s v="Médio valor"/>
  </r>
  <r>
    <x v="47"/>
    <x v="0"/>
    <s v="DF"/>
    <x v="0"/>
    <n v="21985"/>
    <n v="15873.3"/>
    <s v="Ativo"/>
    <n v="0.27799408687741645"/>
    <s v="Baixo valor"/>
  </r>
  <r>
    <x v="47"/>
    <x v="0"/>
    <s v="DF"/>
    <x v="1"/>
    <n v="25487"/>
    <n v="19713.95"/>
    <s v="Ativo"/>
    <n v="0.22650959312590729"/>
    <s v="Baixo valor"/>
  </r>
  <r>
    <x v="47"/>
    <x v="0"/>
    <s v="DF"/>
    <x v="2"/>
    <n v="8131"/>
    <n v="5653"/>
    <s v="Ativo"/>
    <n v="0.30475956216947486"/>
    <s v="Baixo valor"/>
  </r>
  <r>
    <x v="47"/>
    <x v="0"/>
    <s v="DF"/>
    <x v="3"/>
    <n v="17900"/>
    <n v="13087.75"/>
    <s v="Ativo"/>
    <n v="0.26884078212290502"/>
    <s v="Baixo valor"/>
  </r>
  <r>
    <x v="47"/>
    <x v="0"/>
    <s v="DF"/>
    <x v="4"/>
    <n v="48114"/>
    <n v="29107.4"/>
    <s v="Ativo"/>
    <n v="0.39503263083509993"/>
    <s v="Baixo valor"/>
  </r>
  <r>
    <x v="47"/>
    <x v="0"/>
    <s v="DF"/>
    <x v="5"/>
    <n v="38836"/>
    <n v="24110.84"/>
    <s v="Cancelado"/>
    <n v="0.37916263260891958"/>
    <s v="Baixo valor"/>
  </r>
  <r>
    <x v="48"/>
    <x v="1"/>
    <s v="SC"/>
    <x v="0"/>
    <n v="3968"/>
    <n v="2463.09"/>
    <s v="Ativo"/>
    <n v="0.37926159274193544"/>
    <s v="Médio valor"/>
  </r>
  <r>
    <x v="48"/>
    <x v="1"/>
    <s v="SC"/>
    <x v="1"/>
    <n v="31885"/>
    <n v="22202.95"/>
    <s v="Ativo"/>
    <n v="0.30365532381997801"/>
    <s v="Médio valor"/>
  </r>
  <r>
    <x v="48"/>
    <x v="1"/>
    <s v="SC"/>
    <x v="2"/>
    <n v="8973"/>
    <n v="5141.21"/>
    <s v="Ativo"/>
    <n v="0.42703555109773766"/>
    <s v="Médio valor"/>
  </r>
  <r>
    <x v="48"/>
    <x v="1"/>
    <s v="SC"/>
    <x v="3"/>
    <n v="28907"/>
    <n v="14488.75"/>
    <s v="Ativo"/>
    <n v="0.49878057217974886"/>
    <s v="Médio valor"/>
  </r>
  <r>
    <x v="48"/>
    <x v="1"/>
    <s v="SC"/>
    <x v="4"/>
    <n v="3946"/>
    <n v="1985.3"/>
    <s v="Cancelado"/>
    <n v="0.49688291941206286"/>
    <s v="Médio valor"/>
  </r>
  <r>
    <x v="48"/>
    <x v="1"/>
    <s v="SC"/>
    <x v="5"/>
    <n v="2507"/>
    <n v="1838.73"/>
    <s v="Ativo"/>
    <n v="0.26656162744315914"/>
    <s v="Médio valor"/>
  </r>
  <r>
    <x v="49"/>
    <x v="0"/>
    <s v="PE"/>
    <x v="0"/>
    <n v="35366"/>
    <n v="22076.74"/>
    <s v="Ativo"/>
    <n v="0.37576372787422946"/>
    <s v="Médio valor"/>
  </r>
  <r>
    <x v="49"/>
    <x v="0"/>
    <s v="PE"/>
    <x v="1"/>
    <n v="19951"/>
    <n v="14062.76"/>
    <s v="Cancelado"/>
    <n v="0.29513508094832336"/>
    <s v="Médio valor"/>
  </r>
  <r>
    <x v="49"/>
    <x v="0"/>
    <s v="PE"/>
    <x v="2"/>
    <n v="41093"/>
    <n v="32604.77"/>
    <s v="Ativo"/>
    <n v="0.20656145815589028"/>
    <s v="Médio valor"/>
  </r>
  <r>
    <x v="49"/>
    <x v="0"/>
    <s v="PE"/>
    <x v="3"/>
    <n v="11732"/>
    <n v="7162.43"/>
    <s v="Ativo"/>
    <n v="0.38949624957381518"/>
    <s v="Médio valor"/>
  </r>
  <r>
    <x v="49"/>
    <x v="0"/>
    <s v="PE"/>
    <x v="4"/>
    <n v="5887"/>
    <n v="3610.04"/>
    <s v="Ativo"/>
    <n v="0.38677764565992867"/>
    <s v="Médio valor"/>
  </r>
  <r>
    <x v="49"/>
    <x v="0"/>
    <s v="PE"/>
    <x v="5"/>
    <n v="46600"/>
    <n v="36548.82"/>
    <s v="Ativo"/>
    <n v="0.21569055793991418"/>
    <s v="Médio val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44437F-0761-49DE-9853-D1D61072E02F}" name="Tabela dinâmica4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O3:P10" firstHeaderRow="1" firstDataRow="1" firstDataCol="1" rowPageCount="1" colPageCount="1"/>
  <pivotFields count="9">
    <pivotField showAll="0"/>
    <pivotField axis="axisPage" showAll="0">
      <items count="4">
        <item x="1"/>
        <item x="0"/>
        <item x="2"/>
        <item t="default"/>
      </items>
    </pivotField>
    <pivotField showAll="0"/>
    <pivotField axis="axisRow" showAll="0" sortType="ascending">
      <items count="8">
        <item m="1" x="6"/>
        <item x="0"/>
        <item x="1"/>
        <item x="2"/>
        <item x="3"/>
        <item x="4"/>
        <item x="5"/>
        <item t="default"/>
      </items>
    </pivotField>
    <pivotField dataField="1" numFmtId="44" showAll="0"/>
    <pivotField numFmtId="44" showAll="0"/>
    <pivotField showAll="0"/>
    <pivotField numFmtId="9" showAll="0"/>
    <pivotField showAll="0"/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" hier="-1"/>
  </pageFields>
  <dataFields count="1">
    <dataField name="Soma de R$ Receita" fld="4" baseField="0" baseItem="0" numFmtId="44"/>
  </dataField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71E8A8-3547-46D1-A170-3D6C97334E46}" name="Tabela dinâmica2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L4:M55" firstHeaderRow="1" firstDataRow="1" firstDataCol="1" rowPageCount="1" colPageCount="1"/>
  <pivotFields count="9">
    <pivotField axis="axisRow" showAll="0">
      <items count="51">
        <item x="0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9"/>
        <item x="4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t="default"/>
      </items>
    </pivotField>
    <pivotField showAll="0"/>
    <pivotField showAll="0"/>
    <pivotField axis="axisPage" showAll="0">
      <items count="8">
        <item m="1" x="6"/>
        <item x="0"/>
        <item x="1"/>
        <item x="2"/>
        <item x="4"/>
        <item x="5"/>
        <item x="3"/>
        <item t="default"/>
      </items>
    </pivotField>
    <pivotField numFmtId="44" showAll="0"/>
    <pivotField numFmtId="44" showAll="0"/>
    <pivotField showAll="0"/>
    <pivotField dataField="1" numFmtId="9" showAll="0"/>
    <pivotField showAll="0"/>
  </pivotFields>
  <rowFields count="1">
    <field x="0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Items count="1">
    <i/>
  </colItems>
  <pageFields count="1">
    <pageField fld="3" item="5" hier="-1"/>
  </pageFields>
  <dataFields count="1">
    <dataField name="Soma de Margem Bruta Mês" fld="7" baseField="0" baseItem="0" numFmtId="9"/>
  </dataField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40054D-24AB-4A39-9E0A-A7ECE234A650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5:E13" firstHeaderRow="1" firstDataRow="2" firstDataCol="1" rowPageCount="1" colPageCount="1"/>
  <pivotFields count="7">
    <pivotField showAll="0"/>
    <pivotField axis="axisCol" showAll="0">
      <items count="4">
        <item x="1"/>
        <item x="0"/>
        <item x="2"/>
        <item t="default"/>
      </items>
    </pivotField>
    <pivotField axis="axisPage" showAll="0">
      <items count="11">
        <item x="6"/>
        <item x="3"/>
        <item x="1"/>
        <item x="4"/>
        <item x="5"/>
        <item x="9"/>
        <item x="0"/>
        <item x="8"/>
        <item x="7"/>
        <item x="2"/>
        <item t="default"/>
      </items>
    </pivotField>
    <pivotField axis="axisRow" showAll="0">
      <items count="8">
        <item m="1" x="6"/>
        <item x="0"/>
        <item x="1"/>
        <item x="2"/>
        <item x="4"/>
        <item x="5"/>
        <item x="3"/>
        <item t="default"/>
      </items>
    </pivotField>
    <pivotField dataField="1" numFmtId="44" showAll="0"/>
    <pivotField numFmtId="44" showAll="0"/>
    <pivotField showAll="0"/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2" hier="-1"/>
  </pageFields>
  <dataFields count="1">
    <dataField name="Soma de R$ Receita" fld="4" baseField="0" baseItem="0" numFmtId="44"/>
  </dataField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180A8-BE63-4D70-856E-1694E4C2544B}" name="Tabela dinâmica3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I5:J16" firstHeaderRow="1" firstDataRow="1" firstDataCol="1" rowPageCount="1" colPageCount="1"/>
  <pivotFields count="9">
    <pivotField axis="axisRow" showAll="0" measureFilter="1">
      <items count="51">
        <item x="0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9"/>
        <item x="4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x="24"/>
        <item x="25"/>
        <item t="default"/>
      </items>
    </pivotField>
    <pivotField showAll="0"/>
    <pivotField showAll="0"/>
    <pivotField axis="axisPage" showAll="0">
      <items count="8">
        <item m="1" x="6"/>
        <item x="0"/>
        <item x="1"/>
        <item x="2"/>
        <item x="4"/>
        <item x="5"/>
        <item x="3"/>
        <item t="default"/>
      </items>
    </pivotField>
    <pivotField dataField="1" numFmtId="44" showAll="0"/>
    <pivotField numFmtId="44" showAll="0"/>
    <pivotField showAll="0"/>
    <pivotField numFmtId="9" showAll="0"/>
    <pivotField showAll="0"/>
  </pivotFields>
  <rowFields count="1">
    <field x="0"/>
  </rowFields>
  <rowItems count="11">
    <i>
      <x v="4"/>
    </i>
    <i>
      <x v="10"/>
    </i>
    <i>
      <x v="15"/>
    </i>
    <i>
      <x v="20"/>
    </i>
    <i>
      <x v="23"/>
    </i>
    <i>
      <x v="28"/>
    </i>
    <i>
      <x v="29"/>
    </i>
    <i>
      <x v="35"/>
    </i>
    <i>
      <x v="42"/>
    </i>
    <i>
      <x v="43"/>
    </i>
    <i t="grand">
      <x/>
    </i>
  </rowItems>
  <colItems count="1">
    <i/>
  </colItems>
  <pageFields count="1">
    <pageField fld="3" item="5" hier="-1"/>
  </pageFields>
  <dataFields count="1">
    <dataField name="Soma de R$ Receita" fld="4" baseField="0" baseItem="0" numFmtId="44"/>
  </dataFields>
  <pivotTableStyleInfo name="PivotStyleMedium12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gmento" xr10:uid="{94AA6D17-37EF-4F38-BA4B-4B6FCCC09D08}" sourceName="Segmento">
  <pivotTables>
    <pivotTable tabId="12" name="Tabela dinâmica1"/>
  </pivotTables>
  <data>
    <tabular pivotCacheId="1040030944">
      <items count="3">
        <i x="1" s="1"/>
        <i x="0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" xr10:uid="{F0CA240D-E56D-4AEA-8F51-CAD011803AC8}" sourceName="Estado">
  <pivotTables>
    <pivotTable tabId="12" name="Tabela dinâmica1"/>
  </pivotTables>
  <data>
    <tabular pivotCacheId="1040030944">
      <items count="10">
        <i x="6" s="1"/>
        <i x="3" s="1"/>
        <i x="1" s="1"/>
        <i x="4" s="1"/>
        <i x="5" s="1"/>
        <i x="9" s="1"/>
        <i x="0" s="1"/>
        <i x="8" s="1"/>
        <i x="7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gmento" xr10:uid="{E0C4C7F1-CC21-498D-B964-5E1FDE040A3C}" cache="SegmentaçãodeDados_Segmento" caption="Segmento" style="SlicerStyleDark4" rowHeight="241300"/>
  <slicer name="Estado" xr10:uid="{B67B57F9-CC38-4B34-8470-2CB92400BB2E}" cache="SegmentaçãodeDados_Estado" caption="Estado" style="SlicerStyleDark4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C58508-6AFA-4230-A70A-1D636F1C9512}" name="Tabela4" displayName="Tabela4" ref="B2:D52" totalsRowShown="0" headerRowBorderDxfId="1" tableBorderDxfId="2">
  <autoFilter ref="B2:D52" xr:uid="{98C58508-6AFA-4230-A70A-1D636F1C9512}"/>
  <tableColumns count="3">
    <tableColumn id="1" xr3:uid="{7D558D42-2AEC-47AD-BFD0-40C02AECE301}" name="Cliente_id" dataDxfId="0"/>
    <tableColumn id="2" xr3:uid="{43CC06DE-BFA9-46E1-86C0-C30F08F3BADF}" name="Segmento"/>
    <tableColumn id="3" xr3:uid="{BD1872E2-9552-4135-9903-AF45DC913519}" name="Estado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770D02-2C3B-49F6-A726-517680D24AA7}" name="Tabela13" displayName="Tabela13" ref="C2:F302" totalsRowShown="0" headerRowDxfId="13" dataDxfId="12">
  <autoFilter ref="C2:F302" xr:uid="{00000000-0001-0000-0100-000000000000}"/>
  <tableColumns count="4">
    <tableColumn id="1" xr3:uid="{17B451F5-E770-4D11-89D2-0B92D659DB4D}" name="cliente_id" dataDxfId="11"/>
    <tableColumn id="2" xr3:uid="{0E6AFD57-8571-4E06-B2C5-69C746CC0AEE}" name="mes_ano" dataDxfId="10"/>
    <tableColumn id="3" xr3:uid="{1EA1CFF6-06F2-4C79-9763-1D0732F776BE}" name="R$ Receita" dataDxfId="9" dataCellStyle="Vírgula"/>
    <tableColumn id="4" xr3:uid="{0ECD6CC1-DA07-4C3A-96FC-AE4D4117DF34}" name="R$ Custo" dataDxfId="8" dataCellStyle="Vírgula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EF4826-7849-47D8-911A-A8055A6D2638}" name="Tabela3" displayName="Tabela3" ref="B2:E302" totalsRowShown="0" tableBorderDxfId="7">
  <autoFilter ref="B2:E302" xr:uid="{08EF4826-7849-47D8-911A-A8055A6D2638}"/>
  <tableColumns count="4">
    <tableColumn id="1" xr3:uid="{68C1B6EB-8B60-40A4-A307-DD1E1D17F12F}" name="Cliente_id" dataDxfId="6"/>
    <tableColumn id="2" xr3:uid="{2494A375-73C8-4803-9A20-BD4903298994}" name="mês_ano" dataDxfId="5"/>
    <tableColumn id="3" xr3:uid="{2351AB97-1722-451B-B157-43A3253D55D9}" name="status" dataDxfId="4"/>
    <tableColumn id="4" xr3:uid="{392BF8EA-AA2A-4A8C-B296-298DBCDF5FDA}" name="receita" dataDxfId="3" dataCellStyle="Vírgula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02B1-5898-478B-8222-465F3F93A291}">
  <dimension ref="B1:L302"/>
  <sheetViews>
    <sheetView workbookViewId="0">
      <selection activeCell="D3" sqref="D3"/>
    </sheetView>
  </sheetViews>
  <sheetFormatPr defaultRowHeight="14.5" x14ac:dyDescent="0.35"/>
  <cols>
    <col min="1" max="1" width="1.08984375" customWidth="1"/>
    <col min="2" max="2" width="6.54296875" style="5" bestFit="1" customWidth="1"/>
    <col min="3" max="3" width="9.08984375" style="5" bestFit="1" customWidth="1"/>
    <col min="4" max="4" width="12.453125" style="5" bestFit="1" customWidth="1"/>
    <col min="5" max="5" width="8.7265625" style="16"/>
    <col min="6" max="7" width="12.6328125" style="5" bestFit="1" customWidth="1"/>
    <col min="8" max="8" width="9.453125" style="5" bestFit="1" customWidth="1"/>
    <col min="9" max="9" width="17.08984375" style="5" bestFit="1" customWidth="1"/>
    <col min="10" max="10" width="20.1796875" style="5" bestFit="1" customWidth="1"/>
    <col min="11" max="11" width="10.453125" hidden="1" customWidth="1"/>
    <col min="12" max="12" width="12.6328125" bestFit="1" customWidth="1"/>
    <col min="13" max="13" width="11.7265625" bestFit="1" customWidth="1"/>
    <col min="14" max="14" width="10.26953125" bestFit="1" customWidth="1"/>
    <col min="15" max="15" width="7.36328125" bestFit="1" customWidth="1"/>
  </cols>
  <sheetData>
    <row r="1" spans="2:12" ht="5" customHeight="1" x14ac:dyDescent="0.35"/>
    <row r="2" spans="2:12" x14ac:dyDescent="0.35">
      <c r="B2" s="10" t="s">
        <v>70</v>
      </c>
      <c r="C2" s="10" t="s">
        <v>11</v>
      </c>
      <c r="D2" s="10" t="s">
        <v>10</v>
      </c>
      <c r="E2" s="17" t="s">
        <v>71</v>
      </c>
      <c r="F2" s="10" t="s">
        <v>14</v>
      </c>
      <c r="G2" s="10" t="s">
        <v>13</v>
      </c>
      <c r="H2" s="10" t="s">
        <v>72</v>
      </c>
      <c r="I2" s="10" t="s">
        <v>78</v>
      </c>
      <c r="J2" s="10" t="s">
        <v>79</v>
      </c>
    </row>
    <row r="3" spans="2:12" x14ac:dyDescent="0.35">
      <c r="B3" s="5" t="s">
        <v>16</v>
      </c>
      <c r="C3" s="5" t="str">
        <f>VLOOKUP(B3,Tabela4[],2,FALSE)</f>
        <v>Média</v>
      </c>
      <c r="D3" s="12" t="str">
        <f>VLOOKUP(B3,Tabela4[],3,FALSE)</f>
        <v>Rio de Janeiro</v>
      </c>
      <c r="E3" s="16" t="s">
        <v>6</v>
      </c>
      <c r="F3" s="13">
        <f>VLOOKUP($K3,'FATURAMENTO '!$B$2:$F$302,4,FALSE)</f>
        <v>21231</v>
      </c>
      <c r="G3" s="13">
        <f>VLOOKUP($K3,'FATURAMENTO '!$B$2:$F$302,5,FALSE)</f>
        <v>13598.65</v>
      </c>
      <c r="H3" s="5" t="str">
        <f>VLOOKUP($K3,CHURN!$A$2:$E$302,4,FALSE)</f>
        <v>Cancelado</v>
      </c>
      <c r="I3" s="11">
        <f>(F3-G3)/F3</f>
        <v>0.35949083886769351</v>
      </c>
      <c r="J3" s="14" t="str">
        <f>IF(INDEX($I$3:$I$302,MATCH(B3,$B$3:$B$302,0))&gt;50%,"Alto valor",IF(INDEX($I$3:$I$302,MATCH(B3,$B$3:$B$302,0))&gt;=30%,"Médio valor","Baixo valor"))</f>
        <v>Médio valor</v>
      </c>
      <c r="K3" t="str">
        <f>CONCATENATE(B3,E3)</f>
        <v>A2024-12</v>
      </c>
      <c r="L3" s="5"/>
    </row>
    <row r="4" spans="2:12" x14ac:dyDescent="0.35">
      <c r="B4" s="5" t="s">
        <v>16</v>
      </c>
      <c r="C4" s="5" t="str">
        <f>VLOOKUP(B4,Tabela4[],2,FALSE)</f>
        <v>Média</v>
      </c>
      <c r="D4" s="12" t="str">
        <f>VLOOKUP(B4,Tabela4[],3,FALSE)</f>
        <v>Rio de Janeiro</v>
      </c>
      <c r="E4" s="16" t="s">
        <v>66</v>
      </c>
      <c r="F4" s="13">
        <f>VLOOKUP($K4,'FATURAMENTO '!$B$2:$F$302,4,FALSE)</f>
        <v>35273</v>
      </c>
      <c r="G4" s="13">
        <f>VLOOKUP($K4,'FATURAMENTO '!$B$2:$F$302,5,FALSE)</f>
        <v>24414.45</v>
      </c>
      <c r="H4" s="5" t="str">
        <f>VLOOKUP($K4,CHURN!$A$2:$E$302,4,FALSE)</f>
        <v>Ativo</v>
      </c>
      <c r="I4" s="11">
        <f t="shared" ref="I4:I67" si="0">(F4-G4)/F4</f>
        <v>0.30784310946049387</v>
      </c>
      <c r="J4" s="14" t="str">
        <f t="shared" ref="J4:J67" si="1">IF(INDEX($I$3:$I$302,MATCH(B4,$B$3:$B$302,0))&gt;50%,"Alto valor",IF(INDEX($I$3:$I$302,MATCH(B4,$B$3:$B$302,0))&gt;=30%,"Médio valor","Baixo valor"))</f>
        <v>Médio valor</v>
      </c>
      <c r="K4" t="str">
        <f t="shared" ref="K4:K67" si="2">CONCATENATE(B4,E4)</f>
        <v>A2025-01</v>
      </c>
      <c r="L4" s="5"/>
    </row>
    <row r="5" spans="2:12" x14ac:dyDescent="0.35">
      <c r="B5" s="5" t="s">
        <v>16</v>
      </c>
      <c r="C5" s="5" t="str">
        <f>VLOOKUP(B5,Tabela4[],2,FALSE)</f>
        <v>Média</v>
      </c>
      <c r="D5" s="12" t="str">
        <f>VLOOKUP(B5,Tabela4[],3,FALSE)</f>
        <v>Rio de Janeiro</v>
      </c>
      <c r="E5" s="16" t="s">
        <v>67</v>
      </c>
      <c r="F5" s="13">
        <f>VLOOKUP($K5,'FATURAMENTO '!$B$2:$F$302,4,FALSE)</f>
        <v>12897</v>
      </c>
      <c r="G5" s="13">
        <f>VLOOKUP($K5,'FATURAMENTO '!$B$2:$F$302,5,FALSE)</f>
        <v>7662.32</v>
      </c>
      <c r="H5" s="5" t="str">
        <f>VLOOKUP($K5,CHURN!$A$2:$E$302,4,FALSE)</f>
        <v>Ativo</v>
      </c>
      <c r="I5" s="11">
        <f t="shared" si="0"/>
        <v>0.40588353880747463</v>
      </c>
      <c r="J5" s="14" t="str">
        <f t="shared" si="1"/>
        <v>Médio valor</v>
      </c>
      <c r="K5" t="str">
        <f t="shared" si="2"/>
        <v>A2025-02</v>
      </c>
      <c r="L5" s="5"/>
    </row>
    <row r="6" spans="2:12" x14ac:dyDescent="0.35">
      <c r="B6" s="5" t="s">
        <v>16</v>
      </c>
      <c r="C6" s="5" t="str">
        <f>VLOOKUP(B6,Tabela4[],2,FALSE)</f>
        <v>Média</v>
      </c>
      <c r="D6" s="12" t="str">
        <f>VLOOKUP(B6,Tabela4[],3,FALSE)</f>
        <v>Rio de Janeiro</v>
      </c>
      <c r="E6" s="16" t="s">
        <v>88</v>
      </c>
      <c r="F6" s="13">
        <f>VLOOKUP($K6,'FATURAMENTO '!$B$2:$F$302,4,FALSE)</f>
        <v>29303</v>
      </c>
      <c r="G6" s="13">
        <f>VLOOKUP($K6,'FATURAMENTO '!$B$2:$F$302,5,FALSE)</f>
        <v>16188.04</v>
      </c>
      <c r="H6" s="5" t="str">
        <f>VLOOKUP($K6,CHURN!$A$2:$E$302,4,FALSE)</f>
        <v>Ativo</v>
      </c>
      <c r="I6" s="11">
        <f t="shared" si="0"/>
        <v>0.44756373067603994</v>
      </c>
      <c r="J6" s="14" t="str">
        <f t="shared" si="1"/>
        <v>Médio valor</v>
      </c>
      <c r="K6" t="str">
        <f t="shared" si="2"/>
        <v>A2025-03</v>
      </c>
      <c r="L6" s="5"/>
    </row>
    <row r="7" spans="2:12" x14ac:dyDescent="0.35">
      <c r="B7" s="5" t="s">
        <v>16</v>
      </c>
      <c r="C7" s="5" t="str">
        <f>VLOOKUP(B7,Tabela4[],2,FALSE)</f>
        <v>Média</v>
      </c>
      <c r="D7" s="12" t="str">
        <f>VLOOKUP(B7,Tabela4[],3,FALSE)</f>
        <v>Rio de Janeiro</v>
      </c>
      <c r="E7" s="16" t="s">
        <v>68</v>
      </c>
      <c r="F7" s="13">
        <f>VLOOKUP($K7,'FATURAMENTO '!$B$2:$F$302,4,FALSE)</f>
        <v>42192</v>
      </c>
      <c r="G7" s="13">
        <f>VLOOKUP($K7,'FATURAMENTO '!$B$2:$F$302,5,FALSE)</f>
        <v>26160.68</v>
      </c>
      <c r="H7" s="5" t="str">
        <f>VLOOKUP($K7,CHURN!$A$2:$E$302,4,FALSE)</f>
        <v>Ativo</v>
      </c>
      <c r="I7" s="11">
        <f t="shared" si="0"/>
        <v>0.37996113007205157</v>
      </c>
      <c r="J7" s="14" t="str">
        <f t="shared" si="1"/>
        <v>Médio valor</v>
      </c>
      <c r="K7" t="str">
        <f t="shared" si="2"/>
        <v>A2025-04</v>
      </c>
      <c r="L7" s="5"/>
    </row>
    <row r="8" spans="2:12" x14ac:dyDescent="0.35">
      <c r="B8" s="5" t="s">
        <v>16</v>
      </c>
      <c r="C8" s="5" t="str">
        <f>VLOOKUP(B8,Tabela4[],2,FALSE)</f>
        <v>Média</v>
      </c>
      <c r="D8" s="12" t="str">
        <f>VLOOKUP(B8,Tabela4[],3,FALSE)</f>
        <v>Rio de Janeiro</v>
      </c>
      <c r="E8" s="16" t="s">
        <v>69</v>
      </c>
      <c r="F8" s="13">
        <f>VLOOKUP($K8,'FATURAMENTO '!$B$2:$F$302,4,FALSE)</f>
        <v>13155</v>
      </c>
      <c r="G8" s="13">
        <f>VLOOKUP($K8,'FATURAMENTO '!$B$2:$F$302,5,FALSE)</f>
        <v>7317.15</v>
      </c>
      <c r="H8" s="5" t="str">
        <f>VLOOKUP($K8,CHURN!$A$2:$E$302,4,FALSE)</f>
        <v>Ativo</v>
      </c>
      <c r="I8" s="11">
        <f t="shared" si="0"/>
        <v>0.44377423033067276</v>
      </c>
      <c r="J8" s="14" t="str">
        <f t="shared" si="1"/>
        <v>Médio valor</v>
      </c>
      <c r="K8" t="str">
        <f t="shared" si="2"/>
        <v>A2025-05</v>
      </c>
      <c r="L8" s="5"/>
    </row>
    <row r="9" spans="2:12" x14ac:dyDescent="0.35">
      <c r="B9" s="5" t="s">
        <v>17</v>
      </c>
      <c r="C9" s="5" t="str">
        <f>VLOOKUP(B9,Tabela4[],2,FALSE)</f>
        <v>Média</v>
      </c>
      <c r="D9" s="12" t="str">
        <f>VLOOKUP(B9,Tabela4[],3,FALSE)</f>
        <v>Distrito Federal</v>
      </c>
      <c r="E9" s="16" t="s">
        <v>6</v>
      </c>
      <c r="F9" s="13">
        <f>VLOOKUP($K9,'FATURAMENTO '!$B$2:$F$302,4,FALSE)</f>
        <v>39211</v>
      </c>
      <c r="G9" s="13">
        <f>VLOOKUP($K9,'FATURAMENTO '!$B$2:$F$302,5,FALSE)</f>
        <v>25382.97</v>
      </c>
      <c r="H9" s="5" t="str">
        <f>VLOOKUP($K9,CHURN!$A$2:$E$302,4,FALSE)</f>
        <v>Ativo</v>
      </c>
      <c r="I9" s="11">
        <f t="shared" si="0"/>
        <v>0.35265690750044626</v>
      </c>
      <c r="J9" s="14" t="str">
        <f t="shared" si="1"/>
        <v>Médio valor</v>
      </c>
      <c r="K9" t="str">
        <f t="shared" si="2"/>
        <v>B2024-12</v>
      </c>
      <c r="L9" s="5"/>
    </row>
    <row r="10" spans="2:12" x14ac:dyDescent="0.35">
      <c r="B10" s="5" t="s">
        <v>17</v>
      </c>
      <c r="C10" s="5" t="str">
        <f>VLOOKUP(B10,Tabela4[],2,FALSE)</f>
        <v>Média</v>
      </c>
      <c r="D10" s="12" t="str">
        <f>VLOOKUP(B10,Tabela4[],3,FALSE)</f>
        <v>Distrito Federal</v>
      </c>
      <c r="E10" s="16" t="s">
        <v>66</v>
      </c>
      <c r="F10" s="13">
        <f>VLOOKUP($K10,'FATURAMENTO '!$B$2:$F$302,4,FALSE)</f>
        <v>26027</v>
      </c>
      <c r="G10" s="13">
        <f>VLOOKUP($K10,'FATURAMENTO '!$B$2:$F$302,5,FALSE)</f>
        <v>19476.55</v>
      </c>
      <c r="H10" s="5" t="str">
        <f>VLOOKUP($K10,CHURN!$A$2:$E$302,4,FALSE)</f>
        <v>Ativo</v>
      </c>
      <c r="I10" s="11">
        <f t="shared" si="0"/>
        <v>0.25167902562723327</v>
      </c>
      <c r="J10" s="14" t="str">
        <f t="shared" si="1"/>
        <v>Médio valor</v>
      </c>
      <c r="K10" t="str">
        <f t="shared" si="2"/>
        <v>B2025-01</v>
      </c>
      <c r="L10" s="5"/>
    </row>
    <row r="11" spans="2:12" x14ac:dyDescent="0.35">
      <c r="B11" s="5" t="s">
        <v>17</v>
      </c>
      <c r="C11" s="5" t="str">
        <f>VLOOKUP(B11,Tabela4[],2,FALSE)</f>
        <v>Média</v>
      </c>
      <c r="D11" s="12" t="str">
        <f>VLOOKUP(B11,Tabela4[],3,FALSE)</f>
        <v>Distrito Federal</v>
      </c>
      <c r="E11" s="16" t="s">
        <v>67</v>
      </c>
      <c r="F11" s="13">
        <f>VLOOKUP($K11,'FATURAMENTO '!$B$2:$F$302,4,FALSE)</f>
        <v>35119</v>
      </c>
      <c r="G11" s="13">
        <f>VLOOKUP($K11,'FATURAMENTO '!$B$2:$F$302,5,FALSE)</f>
        <v>20804.3</v>
      </c>
      <c r="H11" s="5" t="str">
        <f>VLOOKUP($K11,CHURN!$A$2:$E$302,4,FALSE)</f>
        <v>Ativo</v>
      </c>
      <c r="I11" s="11">
        <f t="shared" si="0"/>
        <v>0.40760556963467071</v>
      </c>
      <c r="J11" s="14" t="str">
        <f t="shared" si="1"/>
        <v>Médio valor</v>
      </c>
      <c r="K11" t="str">
        <f t="shared" si="2"/>
        <v>B2025-02</v>
      </c>
      <c r="L11" s="5"/>
    </row>
    <row r="12" spans="2:12" x14ac:dyDescent="0.35">
      <c r="B12" s="5" t="s">
        <v>17</v>
      </c>
      <c r="C12" s="5" t="str">
        <f>VLOOKUP(B12,Tabela4[],2,FALSE)</f>
        <v>Média</v>
      </c>
      <c r="D12" s="12" t="str">
        <f>VLOOKUP(B12,Tabela4[],3,FALSE)</f>
        <v>Distrito Federal</v>
      </c>
      <c r="E12" s="16" t="s">
        <v>88</v>
      </c>
      <c r="F12" s="13">
        <f>VLOOKUP($K12,'FATURAMENTO '!$B$2:$F$302,4,FALSE)</f>
        <v>21363</v>
      </c>
      <c r="G12" s="13">
        <f>VLOOKUP($K12,'FATURAMENTO '!$B$2:$F$302,5,FALSE)</f>
        <v>16304.52</v>
      </c>
      <c r="H12" s="5" t="str">
        <f>VLOOKUP($K12,CHURN!$A$2:$E$302,4,FALSE)</f>
        <v>Ativo</v>
      </c>
      <c r="I12" s="11">
        <f t="shared" si="0"/>
        <v>0.2367869681224547</v>
      </c>
      <c r="J12" s="14" t="str">
        <f t="shared" si="1"/>
        <v>Médio valor</v>
      </c>
      <c r="K12" t="str">
        <f t="shared" si="2"/>
        <v>B2025-03</v>
      </c>
      <c r="L12" s="5"/>
    </row>
    <row r="13" spans="2:12" x14ac:dyDescent="0.35">
      <c r="B13" s="5" t="s">
        <v>17</v>
      </c>
      <c r="C13" s="5" t="str">
        <f>VLOOKUP(B13,Tabela4[],2,FALSE)</f>
        <v>Média</v>
      </c>
      <c r="D13" s="12" t="str">
        <f>VLOOKUP(B13,Tabela4[],3,FALSE)</f>
        <v>Distrito Federal</v>
      </c>
      <c r="E13" s="16" t="s">
        <v>68</v>
      </c>
      <c r="F13" s="13">
        <f>VLOOKUP($K13,'FATURAMENTO '!$B$2:$F$302,4,FALSE)</f>
        <v>7179</v>
      </c>
      <c r="G13" s="13">
        <f>VLOOKUP($K13,'FATURAMENTO '!$B$2:$F$302,5,FALSE)</f>
        <v>4489.8500000000004</v>
      </c>
      <c r="H13" s="5" t="str">
        <f>VLOOKUP($K13,CHURN!$A$2:$E$302,4,FALSE)</f>
        <v>Cancelado</v>
      </c>
      <c r="I13" s="11">
        <f t="shared" si="0"/>
        <v>0.37458559687978821</v>
      </c>
      <c r="J13" s="14" t="str">
        <f t="shared" si="1"/>
        <v>Médio valor</v>
      </c>
      <c r="K13" t="str">
        <f t="shared" si="2"/>
        <v>B2025-04</v>
      </c>
      <c r="L13" s="5"/>
    </row>
    <row r="14" spans="2:12" x14ac:dyDescent="0.35">
      <c r="B14" s="5" t="s">
        <v>17</v>
      </c>
      <c r="C14" s="5" t="str">
        <f>VLOOKUP(B14,Tabela4[],2,FALSE)</f>
        <v>Média</v>
      </c>
      <c r="D14" s="12" t="str">
        <f>VLOOKUP(B14,Tabela4[],3,FALSE)</f>
        <v>Distrito Federal</v>
      </c>
      <c r="E14" s="16" t="s">
        <v>69</v>
      </c>
      <c r="F14" s="13">
        <f>VLOOKUP($K14,'FATURAMENTO '!$B$2:$F$302,4,FALSE)</f>
        <v>26815</v>
      </c>
      <c r="G14" s="13">
        <f>VLOOKUP($K14,'FATURAMENTO '!$B$2:$F$302,5,FALSE)</f>
        <v>14788.29</v>
      </c>
      <c r="H14" s="5" t="str">
        <f>VLOOKUP($K14,CHURN!$A$2:$E$302,4,FALSE)</f>
        <v>Ativo</v>
      </c>
      <c r="I14" s="11">
        <f t="shared" si="0"/>
        <v>0.44850680589222447</v>
      </c>
      <c r="J14" s="14" t="str">
        <f t="shared" si="1"/>
        <v>Médio valor</v>
      </c>
      <c r="K14" t="str">
        <f t="shared" si="2"/>
        <v>B2025-05</v>
      </c>
      <c r="L14" s="5"/>
    </row>
    <row r="15" spans="2:12" x14ac:dyDescent="0.35">
      <c r="B15" s="5" t="s">
        <v>18</v>
      </c>
      <c r="C15" s="5" t="str">
        <f>VLOOKUP(B15,Tabela4[],2,FALSE)</f>
        <v>Grande</v>
      </c>
      <c r="D15" s="12" t="str">
        <f>VLOOKUP(B15,Tabela4[],3,FALSE)</f>
        <v>São Paulo</v>
      </c>
      <c r="E15" s="16" t="s">
        <v>6</v>
      </c>
      <c r="F15" s="13">
        <f>VLOOKUP($K15,'FATURAMENTO '!$B$2:$F$302,4,FALSE)</f>
        <v>15923</v>
      </c>
      <c r="G15" s="13">
        <f>VLOOKUP($K15,'FATURAMENTO '!$B$2:$F$302,5,FALSE)</f>
        <v>11332.07</v>
      </c>
      <c r="H15" s="5" t="str">
        <f>VLOOKUP($K15,CHURN!$A$2:$E$302,4,FALSE)</f>
        <v>Ativo</v>
      </c>
      <c r="I15" s="11">
        <f t="shared" si="0"/>
        <v>0.2883206682157885</v>
      </c>
      <c r="J15" s="14" t="str">
        <f t="shared" si="1"/>
        <v>Baixo valor</v>
      </c>
      <c r="K15" t="str">
        <f t="shared" si="2"/>
        <v>C2024-12</v>
      </c>
      <c r="L15" s="5"/>
    </row>
    <row r="16" spans="2:12" x14ac:dyDescent="0.35">
      <c r="B16" s="5" t="s">
        <v>18</v>
      </c>
      <c r="C16" s="5" t="str">
        <f>VLOOKUP(B16,Tabela4[],2,FALSE)</f>
        <v>Grande</v>
      </c>
      <c r="D16" s="12" t="str">
        <f>VLOOKUP(B16,Tabela4[],3,FALSE)</f>
        <v>São Paulo</v>
      </c>
      <c r="E16" s="16" t="s">
        <v>66</v>
      </c>
      <c r="F16" s="13">
        <f>VLOOKUP($K16,'FATURAMENTO '!$B$2:$F$302,4,FALSE)</f>
        <v>4922</v>
      </c>
      <c r="G16" s="13">
        <f>VLOOKUP($K16,'FATURAMENTO '!$B$2:$F$302,5,FALSE)</f>
        <v>3371.62</v>
      </c>
      <c r="H16" s="5" t="str">
        <f>VLOOKUP($K16,CHURN!$A$2:$E$302,4,FALSE)</f>
        <v>Ativo</v>
      </c>
      <c r="I16" s="11">
        <f t="shared" si="0"/>
        <v>0.31498984152783421</v>
      </c>
      <c r="J16" s="14" t="str">
        <f t="shared" si="1"/>
        <v>Baixo valor</v>
      </c>
      <c r="K16" t="str">
        <f t="shared" si="2"/>
        <v>C2025-01</v>
      </c>
      <c r="L16" s="5"/>
    </row>
    <row r="17" spans="2:12" x14ac:dyDescent="0.35">
      <c r="B17" s="5" t="s">
        <v>18</v>
      </c>
      <c r="C17" s="5" t="str">
        <f>VLOOKUP(B17,Tabela4[],2,FALSE)</f>
        <v>Grande</v>
      </c>
      <c r="D17" s="12" t="str">
        <f>VLOOKUP(B17,Tabela4[],3,FALSE)</f>
        <v>São Paulo</v>
      </c>
      <c r="E17" s="16" t="s">
        <v>67</v>
      </c>
      <c r="F17" s="13">
        <f>VLOOKUP($K17,'FATURAMENTO '!$B$2:$F$302,4,FALSE)</f>
        <v>46087</v>
      </c>
      <c r="G17" s="13">
        <f>VLOOKUP($K17,'FATURAMENTO '!$B$2:$F$302,5,FALSE)</f>
        <v>23605.5</v>
      </c>
      <c r="H17" s="5" t="str">
        <f>VLOOKUP($K17,CHURN!$A$2:$E$302,4,FALSE)</f>
        <v>Ativo</v>
      </c>
      <c r="I17" s="11">
        <f t="shared" si="0"/>
        <v>0.48780567188144164</v>
      </c>
      <c r="J17" s="14" t="str">
        <f t="shared" si="1"/>
        <v>Baixo valor</v>
      </c>
      <c r="K17" t="str">
        <f t="shared" si="2"/>
        <v>C2025-02</v>
      </c>
      <c r="L17" s="5"/>
    </row>
    <row r="18" spans="2:12" x14ac:dyDescent="0.35">
      <c r="B18" s="5" t="s">
        <v>18</v>
      </c>
      <c r="C18" s="5" t="str">
        <f>VLOOKUP(B18,Tabela4[],2,FALSE)</f>
        <v>Grande</v>
      </c>
      <c r="D18" s="12" t="str">
        <f>VLOOKUP(B18,Tabela4[],3,FALSE)</f>
        <v>São Paulo</v>
      </c>
      <c r="E18" s="16" t="s">
        <v>88</v>
      </c>
      <c r="F18" s="13">
        <f>VLOOKUP($K18,'FATURAMENTO '!$B$2:$F$302,4,FALSE)</f>
        <v>24934</v>
      </c>
      <c r="G18" s="13">
        <f>VLOOKUP($K18,'FATURAMENTO '!$B$2:$F$302,5,FALSE)</f>
        <v>15050.3</v>
      </c>
      <c r="H18" s="5" t="str">
        <f>VLOOKUP($K18,CHURN!$A$2:$E$302,4,FALSE)</f>
        <v>Ativo</v>
      </c>
      <c r="I18" s="11">
        <f t="shared" si="0"/>
        <v>0.39639448143097783</v>
      </c>
      <c r="J18" s="14" t="str">
        <f t="shared" si="1"/>
        <v>Baixo valor</v>
      </c>
      <c r="K18" t="str">
        <f t="shared" si="2"/>
        <v>C2025-03</v>
      </c>
      <c r="L18" s="5"/>
    </row>
    <row r="19" spans="2:12" x14ac:dyDescent="0.35">
      <c r="B19" s="5" t="s">
        <v>18</v>
      </c>
      <c r="C19" s="5" t="str">
        <f>VLOOKUP(B19,Tabela4[],2,FALSE)</f>
        <v>Grande</v>
      </c>
      <c r="D19" s="12" t="str">
        <f>VLOOKUP(B19,Tabela4[],3,FALSE)</f>
        <v>São Paulo</v>
      </c>
      <c r="E19" s="16" t="s">
        <v>68</v>
      </c>
      <c r="F19" s="13">
        <f>VLOOKUP($K19,'FATURAMENTO '!$B$2:$F$302,4,FALSE)</f>
        <v>10325</v>
      </c>
      <c r="G19" s="13">
        <f>VLOOKUP($K19,'FATURAMENTO '!$B$2:$F$302,5,FALSE)</f>
        <v>6350.68</v>
      </c>
      <c r="H19" s="5" t="str">
        <f>VLOOKUP($K19,CHURN!$A$2:$E$302,4,FALSE)</f>
        <v>Ativo</v>
      </c>
      <c r="I19" s="11">
        <f t="shared" si="0"/>
        <v>0.38492203389830504</v>
      </c>
      <c r="J19" s="14" t="str">
        <f t="shared" si="1"/>
        <v>Baixo valor</v>
      </c>
      <c r="K19" t="str">
        <f t="shared" si="2"/>
        <v>C2025-04</v>
      </c>
      <c r="L19" s="5"/>
    </row>
    <row r="20" spans="2:12" x14ac:dyDescent="0.35">
      <c r="B20" s="5" t="s">
        <v>18</v>
      </c>
      <c r="C20" s="5" t="str">
        <f>VLOOKUP(B20,Tabela4[],2,FALSE)</f>
        <v>Grande</v>
      </c>
      <c r="D20" s="12" t="str">
        <f>VLOOKUP(B20,Tabela4[],3,FALSE)</f>
        <v>São Paulo</v>
      </c>
      <c r="E20" s="16" t="s">
        <v>69</v>
      </c>
      <c r="F20" s="13">
        <f>VLOOKUP($K20,'FATURAMENTO '!$B$2:$F$302,4,FALSE)</f>
        <v>15620</v>
      </c>
      <c r="G20" s="13">
        <f>VLOOKUP($K20,'FATURAMENTO '!$B$2:$F$302,5,FALSE)</f>
        <v>11100.81</v>
      </c>
      <c r="H20" s="5" t="str">
        <f>VLOOKUP($K20,CHURN!$A$2:$E$302,4,FALSE)</f>
        <v>Ativo</v>
      </c>
      <c r="I20" s="11">
        <f t="shared" si="0"/>
        <v>0.28932074263764407</v>
      </c>
      <c r="J20" s="14" t="str">
        <f t="shared" si="1"/>
        <v>Baixo valor</v>
      </c>
      <c r="K20" t="str">
        <f t="shared" si="2"/>
        <v>C2025-05</v>
      </c>
      <c r="L20" s="5"/>
    </row>
    <row r="21" spans="2:12" x14ac:dyDescent="0.35">
      <c r="B21" s="5" t="s">
        <v>19</v>
      </c>
      <c r="C21" s="5" t="str">
        <f>VLOOKUP(B21,Tabela4[],2,FALSE)</f>
        <v>Pequena</v>
      </c>
      <c r="D21" s="12" t="str">
        <f>VLOOKUP(B21,Tabela4[],3,FALSE)</f>
        <v>Rio de Janeiro</v>
      </c>
      <c r="E21" s="16" t="s">
        <v>6</v>
      </c>
      <c r="F21" s="13">
        <f>VLOOKUP($K21,'FATURAMENTO '!$B$2:$F$302,4,FALSE)</f>
        <v>14806</v>
      </c>
      <c r="G21" s="13">
        <f>VLOOKUP($K21,'FATURAMENTO '!$B$2:$F$302,5,FALSE)</f>
        <v>11759.08</v>
      </c>
      <c r="H21" s="5" t="str">
        <f>VLOOKUP($K21,CHURN!$A$2:$E$302,4,FALSE)</f>
        <v>Ativo</v>
      </c>
      <c r="I21" s="11">
        <f t="shared" si="0"/>
        <v>0.2057895447791436</v>
      </c>
      <c r="J21" s="14" t="str">
        <f t="shared" si="1"/>
        <v>Baixo valor</v>
      </c>
      <c r="K21" t="str">
        <f t="shared" si="2"/>
        <v>D2024-12</v>
      </c>
      <c r="L21" s="5"/>
    </row>
    <row r="22" spans="2:12" x14ac:dyDescent="0.35">
      <c r="B22" s="5" t="s">
        <v>19</v>
      </c>
      <c r="C22" s="5" t="str">
        <f>VLOOKUP(B22,Tabela4[],2,FALSE)</f>
        <v>Pequena</v>
      </c>
      <c r="D22" s="12" t="str">
        <f>VLOOKUP(B22,Tabela4[],3,FALSE)</f>
        <v>Rio de Janeiro</v>
      </c>
      <c r="E22" s="16" t="s">
        <v>66</v>
      </c>
      <c r="F22" s="13">
        <f>VLOOKUP($K22,'FATURAMENTO '!$B$2:$F$302,4,FALSE)</f>
        <v>38204</v>
      </c>
      <c r="G22" s="13">
        <f>VLOOKUP($K22,'FATURAMENTO '!$B$2:$F$302,5,FALSE)</f>
        <v>22071.97</v>
      </c>
      <c r="H22" s="5" t="str">
        <f>VLOOKUP($K22,CHURN!$A$2:$E$302,4,FALSE)</f>
        <v>Cancelado</v>
      </c>
      <c r="I22" s="11">
        <f t="shared" si="0"/>
        <v>0.42226023453041561</v>
      </c>
      <c r="J22" s="14" t="str">
        <f t="shared" si="1"/>
        <v>Baixo valor</v>
      </c>
      <c r="K22" t="str">
        <f t="shared" si="2"/>
        <v>D2025-01</v>
      </c>
      <c r="L22" s="5"/>
    </row>
    <row r="23" spans="2:12" x14ac:dyDescent="0.35">
      <c r="B23" s="5" t="s">
        <v>19</v>
      </c>
      <c r="C23" s="5" t="str">
        <f>VLOOKUP(B23,Tabela4[],2,FALSE)</f>
        <v>Pequena</v>
      </c>
      <c r="D23" s="12" t="str">
        <f>VLOOKUP(B23,Tabela4[],3,FALSE)</f>
        <v>Rio de Janeiro</v>
      </c>
      <c r="E23" s="16" t="s">
        <v>67</v>
      </c>
      <c r="F23" s="13">
        <f>VLOOKUP($K23,'FATURAMENTO '!$B$2:$F$302,4,FALSE)</f>
        <v>45343</v>
      </c>
      <c r="G23" s="13">
        <f>VLOOKUP($K23,'FATURAMENTO '!$B$2:$F$302,5,FALSE)</f>
        <v>27404.74</v>
      </c>
      <c r="H23" s="5" t="str">
        <f>VLOOKUP($K23,CHURN!$A$2:$E$302,4,FALSE)</f>
        <v>Ativo</v>
      </c>
      <c r="I23" s="11">
        <f t="shared" si="0"/>
        <v>0.39561255320556643</v>
      </c>
      <c r="J23" s="14" t="str">
        <f t="shared" si="1"/>
        <v>Baixo valor</v>
      </c>
      <c r="K23" t="str">
        <f t="shared" si="2"/>
        <v>D2025-02</v>
      </c>
      <c r="L23" s="5"/>
    </row>
    <row r="24" spans="2:12" x14ac:dyDescent="0.35">
      <c r="B24" s="5" t="s">
        <v>19</v>
      </c>
      <c r="C24" s="5" t="str">
        <f>VLOOKUP(B24,Tabela4[],2,FALSE)</f>
        <v>Pequena</v>
      </c>
      <c r="D24" s="12" t="str">
        <f>VLOOKUP(B24,Tabela4[],3,FALSE)</f>
        <v>Rio de Janeiro</v>
      </c>
      <c r="E24" s="16" t="s">
        <v>88</v>
      </c>
      <c r="F24" s="13">
        <f>VLOOKUP($K24,'FATURAMENTO '!$B$2:$F$302,4,FALSE)</f>
        <v>4530</v>
      </c>
      <c r="G24" s="13">
        <f>VLOOKUP($K24,'FATURAMENTO '!$B$2:$F$302,5,FALSE)</f>
        <v>3245.71</v>
      </c>
      <c r="H24" s="5" t="str">
        <f>VLOOKUP($K24,CHURN!$A$2:$E$302,4,FALSE)</f>
        <v>Ativo</v>
      </c>
      <c r="I24" s="11">
        <f t="shared" si="0"/>
        <v>0.28350772626931564</v>
      </c>
      <c r="J24" s="14" t="str">
        <f t="shared" si="1"/>
        <v>Baixo valor</v>
      </c>
      <c r="K24" t="str">
        <f t="shared" si="2"/>
        <v>D2025-03</v>
      </c>
      <c r="L24" s="5"/>
    </row>
    <row r="25" spans="2:12" x14ac:dyDescent="0.35">
      <c r="B25" s="5" t="s">
        <v>19</v>
      </c>
      <c r="C25" s="5" t="str">
        <f>VLOOKUP(B25,Tabela4[],2,FALSE)</f>
        <v>Pequena</v>
      </c>
      <c r="D25" s="12" t="str">
        <f>VLOOKUP(B25,Tabela4[],3,FALSE)</f>
        <v>Rio de Janeiro</v>
      </c>
      <c r="E25" s="16" t="s">
        <v>68</v>
      </c>
      <c r="F25" s="13">
        <f>VLOOKUP($K25,'FATURAMENTO '!$B$2:$F$302,4,FALSE)</f>
        <v>37571</v>
      </c>
      <c r="G25" s="13">
        <f>VLOOKUP($K25,'FATURAMENTO '!$B$2:$F$302,5,FALSE)</f>
        <v>23561.599999999999</v>
      </c>
      <c r="H25" s="5" t="str">
        <f>VLOOKUP($K25,CHURN!$A$2:$E$302,4,FALSE)</f>
        <v>Ativo</v>
      </c>
      <c r="I25" s="11">
        <f t="shared" si="0"/>
        <v>0.37287801761997291</v>
      </c>
      <c r="J25" s="14" t="str">
        <f t="shared" si="1"/>
        <v>Baixo valor</v>
      </c>
      <c r="K25" t="str">
        <f t="shared" si="2"/>
        <v>D2025-04</v>
      </c>
      <c r="L25" s="5"/>
    </row>
    <row r="26" spans="2:12" x14ac:dyDescent="0.35">
      <c r="B26" s="5" t="s">
        <v>19</v>
      </c>
      <c r="C26" s="5" t="str">
        <f>VLOOKUP(B26,Tabela4[],2,FALSE)</f>
        <v>Pequena</v>
      </c>
      <c r="D26" s="12" t="str">
        <f>VLOOKUP(B26,Tabela4[],3,FALSE)</f>
        <v>Rio de Janeiro</v>
      </c>
      <c r="E26" s="16" t="s">
        <v>69</v>
      </c>
      <c r="F26" s="13">
        <f>VLOOKUP($K26,'FATURAMENTO '!$B$2:$F$302,4,FALSE)</f>
        <v>4056</v>
      </c>
      <c r="G26" s="13">
        <f>VLOOKUP($K26,'FATURAMENTO '!$B$2:$F$302,5,FALSE)</f>
        <v>2302.59</v>
      </c>
      <c r="H26" s="5" t="str">
        <f>VLOOKUP($K26,CHURN!$A$2:$E$302,4,FALSE)</f>
        <v>Cancelado</v>
      </c>
      <c r="I26" s="11">
        <f t="shared" si="0"/>
        <v>0.43230029585798813</v>
      </c>
      <c r="J26" s="14" t="str">
        <f t="shared" si="1"/>
        <v>Baixo valor</v>
      </c>
      <c r="K26" t="str">
        <f t="shared" si="2"/>
        <v>D2025-05</v>
      </c>
      <c r="L26" s="5"/>
    </row>
    <row r="27" spans="2:12" x14ac:dyDescent="0.35">
      <c r="B27" s="5" t="s">
        <v>20</v>
      </c>
      <c r="C27" s="5" t="str">
        <f>VLOOKUP(B27,Tabela4[],2,FALSE)</f>
        <v>Média</v>
      </c>
      <c r="D27" s="12" t="str">
        <f>VLOOKUP(B27,Tabela4[],3,FALSE)</f>
        <v>São Paulo</v>
      </c>
      <c r="E27" s="16" t="s">
        <v>6</v>
      </c>
      <c r="F27" s="13">
        <f>VLOOKUP($K27,'FATURAMENTO '!$B$2:$F$302,4,FALSE)</f>
        <v>2657</v>
      </c>
      <c r="G27" s="13">
        <f>VLOOKUP($K27,'FATURAMENTO '!$B$2:$F$302,5,FALSE)</f>
        <v>1928.07</v>
      </c>
      <c r="H27" s="5" t="str">
        <f>VLOOKUP($K27,CHURN!$A$2:$E$302,4,FALSE)</f>
        <v>Ativo</v>
      </c>
      <c r="I27" s="11">
        <f t="shared" si="0"/>
        <v>0.27434324426044415</v>
      </c>
      <c r="J27" s="14" t="str">
        <f t="shared" si="1"/>
        <v>Baixo valor</v>
      </c>
      <c r="K27" t="str">
        <f t="shared" si="2"/>
        <v>E2024-12</v>
      </c>
      <c r="L27" s="5"/>
    </row>
    <row r="28" spans="2:12" x14ac:dyDescent="0.35">
      <c r="B28" s="5" t="s">
        <v>20</v>
      </c>
      <c r="C28" s="5" t="str">
        <f>VLOOKUP(B28,Tabela4[],2,FALSE)</f>
        <v>Média</v>
      </c>
      <c r="D28" s="12" t="str">
        <f>VLOOKUP(B28,Tabela4[],3,FALSE)</f>
        <v>São Paulo</v>
      </c>
      <c r="E28" s="16" t="s">
        <v>66</v>
      </c>
      <c r="F28" s="13">
        <f>VLOOKUP($K28,'FATURAMENTO '!$B$2:$F$302,4,FALSE)</f>
        <v>11565</v>
      </c>
      <c r="G28" s="13">
        <f>VLOOKUP($K28,'FATURAMENTO '!$B$2:$F$302,5,FALSE)</f>
        <v>8763.25</v>
      </c>
      <c r="H28" s="5" t="str">
        <f>VLOOKUP($K28,CHURN!$A$2:$E$302,4,FALSE)</f>
        <v>Ativo</v>
      </c>
      <c r="I28" s="11">
        <f t="shared" si="0"/>
        <v>0.2422611327280588</v>
      </c>
      <c r="J28" s="14" t="str">
        <f t="shared" si="1"/>
        <v>Baixo valor</v>
      </c>
      <c r="K28" t="str">
        <f t="shared" si="2"/>
        <v>E2025-01</v>
      </c>
      <c r="L28" s="5"/>
    </row>
    <row r="29" spans="2:12" x14ac:dyDescent="0.35">
      <c r="B29" s="5" t="s">
        <v>20</v>
      </c>
      <c r="C29" s="5" t="str">
        <f>VLOOKUP(B29,Tabela4[],2,FALSE)</f>
        <v>Média</v>
      </c>
      <c r="D29" s="12" t="str">
        <f>VLOOKUP(B29,Tabela4[],3,FALSE)</f>
        <v>São Paulo</v>
      </c>
      <c r="E29" s="16" t="s">
        <v>67</v>
      </c>
      <c r="F29" s="13">
        <f>VLOOKUP($K29,'FATURAMENTO '!$B$2:$F$302,4,FALSE)</f>
        <v>36553</v>
      </c>
      <c r="G29" s="13">
        <f>VLOOKUP($K29,'FATURAMENTO '!$B$2:$F$302,5,FALSE)</f>
        <v>24262.11</v>
      </c>
      <c r="H29" s="5" t="str">
        <f>VLOOKUP($K29,CHURN!$A$2:$E$302,4,FALSE)</f>
        <v>Cancelado</v>
      </c>
      <c r="I29" s="11">
        <f t="shared" si="0"/>
        <v>0.33624846113862061</v>
      </c>
      <c r="J29" s="14" t="str">
        <f t="shared" si="1"/>
        <v>Baixo valor</v>
      </c>
      <c r="K29" t="str">
        <f t="shared" si="2"/>
        <v>E2025-02</v>
      </c>
      <c r="L29" s="5"/>
    </row>
    <row r="30" spans="2:12" x14ac:dyDescent="0.35">
      <c r="B30" s="5" t="s">
        <v>20</v>
      </c>
      <c r="C30" s="5" t="str">
        <f>VLOOKUP(B30,Tabela4[],2,FALSE)</f>
        <v>Média</v>
      </c>
      <c r="D30" s="12" t="str">
        <f>VLOOKUP(B30,Tabela4[],3,FALSE)</f>
        <v>São Paulo</v>
      </c>
      <c r="E30" s="16" t="s">
        <v>88</v>
      </c>
      <c r="F30" s="13">
        <f>VLOOKUP($K30,'FATURAMENTO '!$B$2:$F$302,4,FALSE)</f>
        <v>28310</v>
      </c>
      <c r="G30" s="13">
        <f>VLOOKUP($K30,'FATURAMENTO '!$B$2:$F$302,5,FALSE)</f>
        <v>17281.939999999999</v>
      </c>
      <c r="H30" s="5" t="str">
        <f>VLOOKUP($K30,CHURN!$A$2:$E$302,4,FALSE)</f>
        <v>Ativo</v>
      </c>
      <c r="I30" s="11">
        <f t="shared" si="0"/>
        <v>0.38954645001766164</v>
      </c>
      <c r="J30" s="14" t="str">
        <f t="shared" si="1"/>
        <v>Baixo valor</v>
      </c>
      <c r="K30" t="str">
        <f t="shared" si="2"/>
        <v>E2025-03</v>
      </c>
      <c r="L30" s="5"/>
    </row>
    <row r="31" spans="2:12" x14ac:dyDescent="0.35">
      <c r="B31" s="5" t="s">
        <v>20</v>
      </c>
      <c r="C31" s="5" t="str">
        <f>VLOOKUP(B31,Tabela4[],2,FALSE)</f>
        <v>Média</v>
      </c>
      <c r="D31" s="12" t="str">
        <f>VLOOKUP(B31,Tabela4[],3,FALSE)</f>
        <v>São Paulo</v>
      </c>
      <c r="E31" s="16" t="s">
        <v>68</v>
      </c>
      <c r="F31" s="13">
        <f>VLOOKUP($K31,'FATURAMENTO '!$B$2:$F$302,4,FALSE)</f>
        <v>46096</v>
      </c>
      <c r="G31" s="13">
        <f>VLOOKUP($K31,'FATURAMENTO '!$B$2:$F$302,5,FALSE)</f>
        <v>32122.080000000002</v>
      </c>
      <c r="H31" s="5" t="str">
        <f>VLOOKUP($K31,CHURN!$A$2:$E$302,4,FALSE)</f>
        <v>Ativo</v>
      </c>
      <c r="I31" s="11">
        <f t="shared" si="0"/>
        <v>0.30314821242624085</v>
      </c>
      <c r="J31" s="14" t="str">
        <f t="shared" si="1"/>
        <v>Baixo valor</v>
      </c>
      <c r="K31" t="str">
        <f t="shared" si="2"/>
        <v>E2025-04</v>
      </c>
      <c r="L31" s="5"/>
    </row>
    <row r="32" spans="2:12" x14ac:dyDescent="0.35">
      <c r="B32" s="5" t="s">
        <v>20</v>
      </c>
      <c r="C32" s="5" t="str">
        <f>VLOOKUP(B32,Tabela4[],2,FALSE)</f>
        <v>Média</v>
      </c>
      <c r="D32" s="12" t="str">
        <f>VLOOKUP(B32,Tabela4[],3,FALSE)</f>
        <v>São Paulo</v>
      </c>
      <c r="E32" s="16" t="s">
        <v>69</v>
      </c>
      <c r="F32" s="13">
        <f>VLOOKUP($K32,'FATURAMENTO '!$B$2:$F$302,4,FALSE)</f>
        <v>43742</v>
      </c>
      <c r="G32" s="13">
        <f>VLOOKUP($K32,'FATURAMENTO '!$B$2:$F$302,5,FALSE)</f>
        <v>29148.19</v>
      </c>
      <c r="H32" s="5" t="str">
        <f>VLOOKUP($K32,CHURN!$A$2:$E$302,4,FALSE)</f>
        <v>Ativo</v>
      </c>
      <c r="I32" s="11">
        <f t="shared" si="0"/>
        <v>0.33363380732476799</v>
      </c>
      <c r="J32" s="14" t="str">
        <f t="shared" si="1"/>
        <v>Baixo valor</v>
      </c>
      <c r="K32" t="str">
        <f t="shared" si="2"/>
        <v>E2025-05</v>
      </c>
      <c r="L32" s="5"/>
    </row>
    <row r="33" spans="2:12" x14ac:dyDescent="0.35">
      <c r="B33" s="5" t="s">
        <v>21</v>
      </c>
      <c r="C33" s="5" t="str">
        <f>VLOOKUP(B33,Tabela4[],2,FALSE)</f>
        <v>Grande</v>
      </c>
      <c r="D33" s="12" t="str">
        <f>VLOOKUP(B33,Tabela4[],3,FALSE)</f>
        <v>Ceará</v>
      </c>
      <c r="E33" s="16" t="s">
        <v>6</v>
      </c>
      <c r="F33" s="13">
        <f>VLOOKUP($K33,'FATURAMENTO '!$B$2:$F$302,4,FALSE)</f>
        <v>30245</v>
      </c>
      <c r="G33" s="13">
        <f>VLOOKUP($K33,'FATURAMENTO '!$B$2:$F$302,5,FALSE)</f>
        <v>17225.669999999998</v>
      </c>
      <c r="H33" s="5" t="str">
        <f>VLOOKUP($K33,CHURN!$A$2:$E$302,4,FALSE)</f>
        <v>Ativo</v>
      </c>
      <c r="I33" s="11">
        <f t="shared" si="0"/>
        <v>0.43046222516118371</v>
      </c>
      <c r="J33" s="14" t="str">
        <f t="shared" si="1"/>
        <v>Médio valor</v>
      </c>
      <c r="K33" t="str">
        <f t="shared" si="2"/>
        <v>F2024-12</v>
      </c>
      <c r="L33" s="5"/>
    </row>
    <row r="34" spans="2:12" x14ac:dyDescent="0.35">
      <c r="B34" s="5" t="s">
        <v>21</v>
      </c>
      <c r="C34" s="5" t="str">
        <f>VLOOKUP(B34,Tabela4[],2,FALSE)</f>
        <v>Grande</v>
      </c>
      <c r="D34" s="12" t="str">
        <f>VLOOKUP(B34,Tabela4[],3,FALSE)</f>
        <v>Ceará</v>
      </c>
      <c r="E34" s="16" t="s">
        <v>66</v>
      </c>
      <c r="F34" s="13">
        <f>VLOOKUP($K34,'FATURAMENTO '!$B$2:$F$302,4,FALSE)</f>
        <v>19225</v>
      </c>
      <c r="G34" s="13">
        <f>VLOOKUP($K34,'FATURAMENTO '!$B$2:$F$302,5,FALSE)</f>
        <v>13198.56</v>
      </c>
      <c r="H34" s="5" t="str">
        <f>VLOOKUP($K34,CHURN!$A$2:$E$302,4,FALSE)</f>
        <v>Ativo</v>
      </c>
      <c r="I34" s="11">
        <f t="shared" si="0"/>
        <v>0.31346892067620291</v>
      </c>
      <c r="J34" s="14" t="str">
        <f t="shared" si="1"/>
        <v>Médio valor</v>
      </c>
      <c r="K34" t="str">
        <f t="shared" si="2"/>
        <v>F2025-01</v>
      </c>
      <c r="L34" s="5"/>
    </row>
    <row r="35" spans="2:12" x14ac:dyDescent="0.35">
      <c r="B35" s="5" t="s">
        <v>21</v>
      </c>
      <c r="C35" s="5" t="str">
        <f>VLOOKUP(B35,Tabela4[],2,FALSE)</f>
        <v>Grande</v>
      </c>
      <c r="D35" s="12" t="str">
        <f>VLOOKUP(B35,Tabela4[],3,FALSE)</f>
        <v>Ceará</v>
      </c>
      <c r="E35" s="16" t="s">
        <v>67</v>
      </c>
      <c r="F35" s="13">
        <f>VLOOKUP($K35,'FATURAMENTO '!$B$2:$F$302,4,FALSE)</f>
        <v>14920</v>
      </c>
      <c r="G35" s="13">
        <f>VLOOKUP($K35,'FATURAMENTO '!$B$2:$F$302,5,FALSE)</f>
        <v>9956.4599999999991</v>
      </c>
      <c r="H35" s="5" t="str">
        <f>VLOOKUP($K35,CHURN!$A$2:$E$302,4,FALSE)</f>
        <v>Ativo</v>
      </c>
      <c r="I35" s="11">
        <f t="shared" si="0"/>
        <v>0.33267694369973194</v>
      </c>
      <c r="J35" s="14" t="str">
        <f t="shared" si="1"/>
        <v>Médio valor</v>
      </c>
      <c r="K35" t="str">
        <f t="shared" si="2"/>
        <v>F2025-02</v>
      </c>
      <c r="L35" s="5"/>
    </row>
    <row r="36" spans="2:12" x14ac:dyDescent="0.35">
      <c r="B36" s="5" t="s">
        <v>21</v>
      </c>
      <c r="C36" s="5" t="str">
        <f>VLOOKUP(B36,Tabela4[],2,FALSE)</f>
        <v>Grande</v>
      </c>
      <c r="D36" s="12" t="str">
        <f>VLOOKUP(B36,Tabela4[],3,FALSE)</f>
        <v>Ceará</v>
      </c>
      <c r="E36" s="16" t="s">
        <v>88</v>
      </c>
      <c r="F36" s="13">
        <f>VLOOKUP($K36,'FATURAMENTO '!$B$2:$F$302,4,FALSE)</f>
        <v>2898</v>
      </c>
      <c r="G36" s="13">
        <f>VLOOKUP($K36,'FATURAMENTO '!$B$2:$F$302,5,FALSE)</f>
        <v>1676.48</v>
      </c>
      <c r="H36" s="5" t="str">
        <f>VLOOKUP($K36,CHURN!$A$2:$E$302,4,FALSE)</f>
        <v>Ativo</v>
      </c>
      <c r="I36" s="11">
        <f t="shared" si="0"/>
        <v>0.42150448585231193</v>
      </c>
      <c r="J36" s="14" t="str">
        <f t="shared" si="1"/>
        <v>Médio valor</v>
      </c>
      <c r="K36" t="str">
        <f t="shared" si="2"/>
        <v>F2025-03</v>
      </c>
      <c r="L36" s="5"/>
    </row>
    <row r="37" spans="2:12" x14ac:dyDescent="0.35">
      <c r="B37" s="5" t="s">
        <v>21</v>
      </c>
      <c r="C37" s="5" t="str">
        <f>VLOOKUP(B37,Tabela4[],2,FALSE)</f>
        <v>Grande</v>
      </c>
      <c r="D37" s="12" t="str">
        <f>VLOOKUP(B37,Tabela4[],3,FALSE)</f>
        <v>Ceará</v>
      </c>
      <c r="E37" s="16" t="s">
        <v>68</v>
      </c>
      <c r="F37" s="13">
        <f>VLOOKUP($K37,'FATURAMENTO '!$B$2:$F$302,4,FALSE)</f>
        <v>4717</v>
      </c>
      <c r="G37" s="13">
        <f>VLOOKUP($K37,'FATURAMENTO '!$B$2:$F$302,5,FALSE)</f>
        <v>3441.2</v>
      </c>
      <c r="H37" s="5" t="str">
        <f>VLOOKUP($K37,CHURN!$A$2:$E$302,4,FALSE)</f>
        <v>Cancelado</v>
      </c>
      <c r="I37" s="11">
        <f t="shared" si="0"/>
        <v>0.27046851812592754</v>
      </c>
      <c r="J37" s="14" t="str">
        <f t="shared" si="1"/>
        <v>Médio valor</v>
      </c>
      <c r="K37" t="str">
        <f t="shared" si="2"/>
        <v>F2025-04</v>
      </c>
      <c r="L37" s="5"/>
    </row>
    <row r="38" spans="2:12" x14ac:dyDescent="0.35">
      <c r="B38" s="5" t="s">
        <v>21</v>
      </c>
      <c r="C38" s="5" t="str">
        <f>VLOOKUP(B38,Tabela4[],2,FALSE)</f>
        <v>Grande</v>
      </c>
      <c r="D38" s="12" t="str">
        <f>VLOOKUP(B38,Tabela4[],3,FALSE)</f>
        <v>Ceará</v>
      </c>
      <c r="E38" s="16" t="s">
        <v>69</v>
      </c>
      <c r="F38" s="13">
        <f>VLOOKUP($K38,'FATURAMENTO '!$B$2:$F$302,4,FALSE)</f>
        <v>43205</v>
      </c>
      <c r="G38" s="13">
        <f>VLOOKUP($K38,'FATURAMENTO '!$B$2:$F$302,5,FALSE)</f>
        <v>26285.81</v>
      </c>
      <c r="H38" s="5" t="str">
        <f>VLOOKUP($K38,CHURN!$A$2:$E$302,4,FALSE)</f>
        <v>Ativo</v>
      </c>
      <c r="I38" s="11">
        <f t="shared" si="0"/>
        <v>0.39160259229255873</v>
      </c>
      <c r="J38" s="14" t="str">
        <f t="shared" si="1"/>
        <v>Médio valor</v>
      </c>
      <c r="K38" t="str">
        <f t="shared" si="2"/>
        <v>F2025-05</v>
      </c>
      <c r="L38" s="5"/>
    </row>
    <row r="39" spans="2:12" x14ac:dyDescent="0.35">
      <c r="B39" s="5" t="s">
        <v>22</v>
      </c>
      <c r="C39" s="5" t="str">
        <f>VLOOKUP(B39,Tabela4[],2,FALSE)</f>
        <v>Média</v>
      </c>
      <c r="D39" s="12" t="str">
        <f>VLOOKUP(B39,Tabela4[],3,FALSE)</f>
        <v>Minas Gerais</v>
      </c>
      <c r="E39" s="16" t="s">
        <v>6</v>
      </c>
      <c r="F39" s="13">
        <f>VLOOKUP($K39,'FATURAMENTO '!$B$2:$F$302,4,FALSE)</f>
        <v>45635</v>
      </c>
      <c r="G39" s="13">
        <f>VLOOKUP($K39,'FATURAMENTO '!$B$2:$F$302,5,FALSE)</f>
        <v>23769.57</v>
      </c>
      <c r="H39" s="5" t="str">
        <f>VLOOKUP($K39,CHURN!$A$2:$E$302,4,FALSE)</f>
        <v>Cancelado</v>
      </c>
      <c r="I39" s="11">
        <f t="shared" si="0"/>
        <v>0.47913728497863484</v>
      </c>
      <c r="J39" s="14" t="str">
        <f t="shared" si="1"/>
        <v>Médio valor</v>
      </c>
      <c r="K39" t="str">
        <f t="shared" si="2"/>
        <v>G2024-12</v>
      </c>
      <c r="L39" s="5"/>
    </row>
    <row r="40" spans="2:12" x14ac:dyDescent="0.35">
      <c r="B40" s="5" t="s">
        <v>22</v>
      </c>
      <c r="C40" s="5" t="str">
        <f>VLOOKUP(B40,Tabela4[],2,FALSE)</f>
        <v>Média</v>
      </c>
      <c r="D40" s="12" t="str">
        <f>VLOOKUP(B40,Tabela4[],3,FALSE)</f>
        <v>Minas Gerais</v>
      </c>
      <c r="E40" s="16" t="s">
        <v>66</v>
      </c>
      <c r="F40" s="13">
        <f>VLOOKUP($K40,'FATURAMENTO '!$B$2:$F$302,4,FALSE)</f>
        <v>34170</v>
      </c>
      <c r="G40" s="13">
        <f>VLOOKUP($K40,'FATURAMENTO '!$B$2:$F$302,5,FALSE)</f>
        <v>20568.41</v>
      </c>
      <c r="H40" s="5" t="str">
        <f>VLOOKUP($K40,CHURN!$A$2:$E$302,4,FALSE)</f>
        <v>Ativo</v>
      </c>
      <c r="I40" s="11">
        <f t="shared" si="0"/>
        <v>0.39805648229441032</v>
      </c>
      <c r="J40" s="14" t="str">
        <f t="shared" si="1"/>
        <v>Médio valor</v>
      </c>
      <c r="K40" t="str">
        <f t="shared" si="2"/>
        <v>G2025-01</v>
      </c>
      <c r="L40" s="5"/>
    </row>
    <row r="41" spans="2:12" x14ac:dyDescent="0.35">
      <c r="B41" s="5" t="s">
        <v>22</v>
      </c>
      <c r="C41" s="5" t="str">
        <f>VLOOKUP(B41,Tabela4[],2,FALSE)</f>
        <v>Média</v>
      </c>
      <c r="D41" s="12" t="str">
        <f>VLOOKUP(B41,Tabela4[],3,FALSE)</f>
        <v>Minas Gerais</v>
      </c>
      <c r="E41" s="16" t="s">
        <v>67</v>
      </c>
      <c r="F41" s="13">
        <f>VLOOKUP($K41,'FATURAMENTO '!$B$2:$F$302,4,FALSE)</f>
        <v>17007</v>
      </c>
      <c r="G41" s="13">
        <f>VLOOKUP($K41,'FATURAMENTO '!$B$2:$F$302,5,FALSE)</f>
        <v>9132.7999999999993</v>
      </c>
      <c r="H41" s="5" t="str">
        <f>VLOOKUP($K41,CHURN!$A$2:$E$302,4,FALSE)</f>
        <v>Ativo</v>
      </c>
      <c r="I41" s="11">
        <f t="shared" si="0"/>
        <v>0.46299758922796502</v>
      </c>
      <c r="J41" s="14" t="str">
        <f t="shared" si="1"/>
        <v>Médio valor</v>
      </c>
      <c r="K41" t="str">
        <f t="shared" si="2"/>
        <v>G2025-02</v>
      </c>
      <c r="L41" s="5"/>
    </row>
    <row r="42" spans="2:12" x14ac:dyDescent="0.35">
      <c r="B42" s="5" t="s">
        <v>22</v>
      </c>
      <c r="C42" s="5" t="str">
        <f>VLOOKUP(B42,Tabela4[],2,FALSE)</f>
        <v>Média</v>
      </c>
      <c r="D42" s="12" t="str">
        <f>VLOOKUP(B42,Tabela4[],3,FALSE)</f>
        <v>Minas Gerais</v>
      </c>
      <c r="E42" s="16" t="s">
        <v>88</v>
      </c>
      <c r="F42" s="13">
        <f>VLOOKUP($K42,'FATURAMENTO '!$B$2:$F$302,4,FALSE)</f>
        <v>3752</v>
      </c>
      <c r="G42" s="13">
        <f>VLOOKUP($K42,'FATURAMENTO '!$B$2:$F$302,5,FALSE)</f>
        <v>2728.99</v>
      </c>
      <c r="H42" s="5" t="str">
        <f>VLOOKUP($K42,CHURN!$A$2:$E$302,4,FALSE)</f>
        <v>Ativo</v>
      </c>
      <c r="I42" s="11">
        <f t="shared" si="0"/>
        <v>0.27265724946695102</v>
      </c>
      <c r="J42" s="14" t="str">
        <f t="shared" si="1"/>
        <v>Médio valor</v>
      </c>
      <c r="K42" t="str">
        <f t="shared" si="2"/>
        <v>G2025-03</v>
      </c>
      <c r="L42" s="5"/>
    </row>
    <row r="43" spans="2:12" x14ac:dyDescent="0.35">
      <c r="B43" s="5" t="s">
        <v>22</v>
      </c>
      <c r="C43" s="5" t="str">
        <f>VLOOKUP(B43,Tabela4[],2,FALSE)</f>
        <v>Média</v>
      </c>
      <c r="D43" s="12" t="str">
        <f>VLOOKUP(B43,Tabela4[],3,FALSE)</f>
        <v>Minas Gerais</v>
      </c>
      <c r="E43" s="16" t="s">
        <v>68</v>
      </c>
      <c r="F43" s="13">
        <f>VLOOKUP($K43,'FATURAMENTO '!$B$2:$F$302,4,FALSE)</f>
        <v>48439</v>
      </c>
      <c r="G43" s="13">
        <f>VLOOKUP($K43,'FATURAMENTO '!$B$2:$F$302,5,FALSE)</f>
        <v>30513.5</v>
      </c>
      <c r="H43" s="5" t="str">
        <f>VLOOKUP($K43,CHURN!$A$2:$E$302,4,FALSE)</f>
        <v>Ativo</v>
      </c>
      <c r="I43" s="11">
        <f t="shared" si="0"/>
        <v>0.37006337868246658</v>
      </c>
      <c r="J43" s="14" t="str">
        <f t="shared" si="1"/>
        <v>Médio valor</v>
      </c>
      <c r="K43" t="str">
        <f t="shared" si="2"/>
        <v>G2025-04</v>
      </c>
      <c r="L43" s="5"/>
    </row>
    <row r="44" spans="2:12" x14ac:dyDescent="0.35">
      <c r="B44" s="5" t="s">
        <v>22</v>
      </c>
      <c r="C44" s="5" t="str">
        <f>VLOOKUP(B44,Tabela4[],2,FALSE)</f>
        <v>Média</v>
      </c>
      <c r="D44" s="12" t="str">
        <f>VLOOKUP(B44,Tabela4[],3,FALSE)</f>
        <v>Minas Gerais</v>
      </c>
      <c r="E44" s="16" t="s">
        <v>69</v>
      </c>
      <c r="F44" s="13">
        <f>VLOOKUP($K44,'FATURAMENTO '!$B$2:$F$302,4,FALSE)</f>
        <v>15933</v>
      </c>
      <c r="G44" s="13">
        <f>VLOOKUP($K44,'FATURAMENTO '!$B$2:$F$302,5,FALSE)</f>
        <v>10546.55</v>
      </c>
      <c r="H44" s="5" t="str">
        <f>VLOOKUP($K44,CHURN!$A$2:$E$302,4,FALSE)</f>
        <v>Cancelado</v>
      </c>
      <c r="I44" s="11">
        <f t="shared" si="0"/>
        <v>0.33806878804995927</v>
      </c>
      <c r="J44" s="14" t="str">
        <f t="shared" si="1"/>
        <v>Médio valor</v>
      </c>
      <c r="K44" t="str">
        <f t="shared" si="2"/>
        <v>G2025-05</v>
      </c>
      <c r="L44" s="5"/>
    </row>
    <row r="45" spans="2:12" x14ac:dyDescent="0.35">
      <c r="B45" s="5" t="s">
        <v>23</v>
      </c>
      <c r="C45" s="5" t="str">
        <f>VLOOKUP(B45,Tabela4[],2,FALSE)</f>
        <v>Grande</v>
      </c>
      <c r="D45" s="12" t="str">
        <f>VLOOKUP(B45,Tabela4[],3,FALSE)</f>
        <v>Pernambuco</v>
      </c>
      <c r="E45" s="16" t="s">
        <v>6</v>
      </c>
      <c r="F45" s="13">
        <f>VLOOKUP($K45,'FATURAMENTO '!$B$2:$F$302,4,FALSE)</f>
        <v>13988</v>
      </c>
      <c r="G45" s="13">
        <f>VLOOKUP($K45,'FATURAMENTO '!$B$2:$F$302,5,FALSE)</f>
        <v>7546.88</v>
      </c>
      <c r="H45" s="5" t="str">
        <f>VLOOKUP($K45,CHURN!$A$2:$E$302,4,FALSE)</f>
        <v>Ativo</v>
      </c>
      <c r="I45" s="11">
        <f t="shared" si="0"/>
        <v>0.4604746925936517</v>
      </c>
      <c r="J45" s="14" t="str">
        <f t="shared" si="1"/>
        <v>Médio valor</v>
      </c>
      <c r="K45" t="str">
        <f t="shared" si="2"/>
        <v>H2024-12</v>
      </c>
      <c r="L45" s="5"/>
    </row>
    <row r="46" spans="2:12" x14ac:dyDescent="0.35">
      <c r="B46" s="5" t="s">
        <v>23</v>
      </c>
      <c r="C46" s="5" t="str">
        <f>VLOOKUP(B46,Tabela4[],2,FALSE)</f>
        <v>Grande</v>
      </c>
      <c r="D46" s="12" t="str">
        <f>VLOOKUP(B46,Tabela4[],3,FALSE)</f>
        <v>Pernambuco</v>
      </c>
      <c r="E46" s="16" t="s">
        <v>66</v>
      </c>
      <c r="F46" s="13">
        <f>VLOOKUP($K46,'FATURAMENTO '!$B$2:$F$302,4,FALSE)</f>
        <v>44154</v>
      </c>
      <c r="G46" s="13">
        <f>VLOOKUP($K46,'FATURAMENTO '!$B$2:$F$302,5,FALSE)</f>
        <v>31626.3</v>
      </c>
      <c r="H46" s="5" t="str">
        <f>VLOOKUP($K46,CHURN!$A$2:$E$302,4,FALSE)</f>
        <v>Ativo</v>
      </c>
      <c r="I46" s="11">
        <f t="shared" si="0"/>
        <v>0.28372740861530099</v>
      </c>
      <c r="J46" s="14" t="str">
        <f t="shared" si="1"/>
        <v>Médio valor</v>
      </c>
      <c r="K46" t="str">
        <f t="shared" si="2"/>
        <v>H2025-01</v>
      </c>
      <c r="L46" s="5"/>
    </row>
    <row r="47" spans="2:12" x14ac:dyDescent="0.35">
      <c r="B47" s="5" t="s">
        <v>23</v>
      </c>
      <c r="C47" s="5" t="str">
        <f>VLOOKUP(B47,Tabela4[],2,FALSE)</f>
        <v>Grande</v>
      </c>
      <c r="D47" s="12" t="str">
        <f>VLOOKUP(B47,Tabela4[],3,FALSE)</f>
        <v>Pernambuco</v>
      </c>
      <c r="E47" s="16" t="s">
        <v>67</v>
      </c>
      <c r="F47" s="13">
        <f>VLOOKUP($K47,'FATURAMENTO '!$B$2:$F$302,4,FALSE)</f>
        <v>13742</v>
      </c>
      <c r="G47" s="13">
        <f>VLOOKUP($K47,'FATURAMENTO '!$B$2:$F$302,5,FALSE)</f>
        <v>10808.71</v>
      </c>
      <c r="H47" s="5" t="str">
        <f>VLOOKUP($K47,CHURN!$A$2:$E$302,4,FALSE)</f>
        <v>Cancelado</v>
      </c>
      <c r="I47" s="11">
        <f t="shared" si="0"/>
        <v>0.21345437345364582</v>
      </c>
      <c r="J47" s="14" t="str">
        <f t="shared" si="1"/>
        <v>Médio valor</v>
      </c>
      <c r="K47" t="str">
        <f t="shared" si="2"/>
        <v>H2025-02</v>
      </c>
      <c r="L47" s="5"/>
    </row>
    <row r="48" spans="2:12" x14ac:dyDescent="0.35">
      <c r="B48" s="5" t="s">
        <v>23</v>
      </c>
      <c r="C48" s="5" t="str">
        <f>VLOOKUP(B48,Tabela4[],2,FALSE)</f>
        <v>Grande</v>
      </c>
      <c r="D48" s="12" t="str">
        <f>VLOOKUP(B48,Tabela4[],3,FALSE)</f>
        <v>Pernambuco</v>
      </c>
      <c r="E48" s="16" t="s">
        <v>88</v>
      </c>
      <c r="F48" s="13">
        <f>VLOOKUP($K48,'FATURAMENTO '!$B$2:$F$302,4,FALSE)</f>
        <v>4330</v>
      </c>
      <c r="G48" s="13">
        <f>VLOOKUP($K48,'FATURAMENTO '!$B$2:$F$302,5,FALSE)</f>
        <v>3126.91</v>
      </c>
      <c r="H48" s="5" t="str">
        <f>VLOOKUP($K48,CHURN!$A$2:$E$302,4,FALSE)</f>
        <v>Ativo</v>
      </c>
      <c r="I48" s="11">
        <f t="shared" si="0"/>
        <v>0.2778498845265589</v>
      </c>
      <c r="J48" s="14" t="str">
        <f t="shared" si="1"/>
        <v>Médio valor</v>
      </c>
      <c r="K48" t="str">
        <f t="shared" si="2"/>
        <v>H2025-03</v>
      </c>
      <c r="L48" s="5"/>
    </row>
    <row r="49" spans="2:12" x14ac:dyDescent="0.35">
      <c r="B49" s="5" t="s">
        <v>23</v>
      </c>
      <c r="C49" s="5" t="str">
        <f>VLOOKUP(B49,Tabela4[],2,FALSE)</f>
        <v>Grande</v>
      </c>
      <c r="D49" s="12" t="str">
        <f>VLOOKUP(B49,Tabela4[],3,FALSE)</f>
        <v>Pernambuco</v>
      </c>
      <c r="E49" s="16" t="s">
        <v>68</v>
      </c>
      <c r="F49" s="13">
        <f>VLOOKUP($K49,'FATURAMENTO '!$B$2:$F$302,4,FALSE)</f>
        <v>3283</v>
      </c>
      <c r="G49" s="13">
        <f>VLOOKUP($K49,'FATURAMENTO '!$B$2:$F$302,5,FALSE)</f>
        <v>2182.11</v>
      </c>
      <c r="H49" s="5" t="str">
        <f>VLOOKUP($K49,CHURN!$A$2:$E$302,4,FALSE)</f>
        <v>Ativo</v>
      </c>
      <c r="I49" s="11">
        <f t="shared" si="0"/>
        <v>0.33533049040511725</v>
      </c>
      <c r="J49" s="14" t="str">
        <f t="shared" si="1"/>
        <v>Médio valor</v>
      </c>
      <c r="K49" t="str">
        <f t="shared" si="2"/>
        <v>H2025-04</v>
      </c>
      <c r="L49" s="5"/>
    </row>
    <row r="50" spans="2:12" x14ac:dyDescent="0.35">
      <c r="B50" s="5" t="s">
        <v>23</v>
      </c>
      <c r="C50" s="5" t="str">
        <f>VLOOKUP(B50,Tabela4[],2,FALSE)</f>
        <v>Grande</v>
      </c>
      <c r="D50" s="12" t="str">
        <f>VLOOKUP(B50,Tabela4[],3,FALSE)</f>
        <v>Pernambuco</v>
      </c>
      <c r="E50" s="16" t="s">
        <v>69</v>
      </c>
      <c r="F50" s="13">
        <f>VLOOKUP($K50,'FATURAMENTO '!$B$2:$F$302,4,FALSE)</f>
        <v>2099</v>
      </c>
      <c r="G50" s="13">
        <f>VLOOKUP($K50,'FATURAMENTO '!$B$2:$F$302,5,FALSE)</f>
        <v>1159.3800000000001</v>
      </c>
      <c r="H50" s="5" t="str">
        <f>VLOOKUP($K50,CHURN!$A$2:$E$302,4,FALSE)</f>
        <v>Ativo</v>
      </c>
      <c r="I50" s="11">
        <f t="shared" si="0"/>
        <v>0.44765126250595516</v>
      </c>
      <c r="J50" s="14" t="str">
        <f t="shared" si="1"/>
        <v>Médio valor</v>
      </c>
      <c r="K50" t="str">
        <f t="shared" si="2"/>
        <v>H2025-05</v>
      </c>
      <c r="L50" s="5"/>
    </row>
    <row r="51" spans="2:12" x14ac:dyDescent="0.35">
      <c r="B51" s="5" t="s">
        <v>24</v>
      </c>
      <c r="C51" s="5" t="str">
        <f>VLOOKUP(B51,Tabela4[],2,FALSE)</f>
        <v>Média</v>
      </c>
      <c r="D51" s="12" t="str">
        <f>VLOOKUP(B51,Tabela4[],3,FALSE)</f>
        <v>Minas Gerais</v>
      </c>
      <c r="E51" s="16" t="s">
        <v>6</v>
      </c>
      <c r="F51" s="13">
        <f>VLOOKUP($K51,'FATURAMENTO '!$B$2:$F$302,4,FALSE)</f>
        <v>35899</v>
      </c>
      <c r="G51" s="13">
        <f>VLOOKUP($K51,'FATURAMENTO '!$B$2:$F$302,5,FALSE)</f>
        <v>27541.15</v>
      </c>
      <c r="H51" s="5" t="str">
        <f>VLOOKUP($K51,CHURN!$A$2:$E$302,4,FALSE)</f>
        <v>Cancelado</v>
      </c>
      <c r="I51" s="11">
        <f t="shared" si="0"/>
        <v>0.23281567731691685</v>
      </c>
      <c r="J51" s="14" t="str">
        <f t="shared" si="1"/>
        <v>Baixo valor</v>
      </c>
      <c r="K51" t="str">
        <f t="shared" si="2"/>
        <v>I2024-12</v>
      </c>
      <c r="L51" s="5"/>
    </row>
    <row r="52" spans="2:12" x14ac:dyDescent="0.35">
      <c r="B52" s="5" t="s">
        <v>24</v>
      </c>
      <c r="C52" s="5" t="str">
        <f>VLOOKUP(B52,Tabela4[],2,FALSE)</f>
        <v>Média</v>
      </c>
      <c r="D52" s="12" t="str">
        <f>VLOOKUP(B52,Tabela4[],3,FALSE)</f>
        <v>Minas Gerais</v>
      </c>
      <c r="E52" s="16" t="s">
        <v>66</v>
      </c>
      <c r="F52" s="13">
        <f>VLOOKUP($K52,'FATURAMENTO '!$B$2:$F$302,4,FALSE)</f>
        <v>11979</v>
      </c>
      <c r="G52" s="13">
        <f>VLOOKUP($K52,'FATURAMENTO '!$B$2:$F$302,5,FALSE)</f>
        <v>8368.92</v>
      </c>
      <c r="H52" s="5" t="str">
        <f>VLOOKUP($K52,CHURN!$A$2:$E$302,4,FALSE)</f>
        <v>Cancelado</v>
      </c>
      <c r="I52" s="11">
        <f t="shared" si="0"/>
        <v>0.30136739293764087</v>
      </c>
      <c r="J52" s="14" t="str">
        <f t="shared" si="1"/>
        <v>Baixo valor</v>
      </c>
      <c r="K52" t="str">
        <f t="shared" si="2"/>
        <v>I2025-01</v>
      </c>
      <c r="L52" s="5"/>
    </row>
    <row r="53" spans="2:12" x14ac:dyDescent="0.35">
      <c r="B53" s="5" t="s">
        <v>24</v>
      </c>
      <c r="C53" s="5" t="str">
        <f>VLOOKUP(B53,Tabela4[],2,FALSE)</f>
        <v>Média</v>
      </c>
      <c r="D53" s="12" t="str">
        <f>VLOOKUP(B53,Tabela4[],3,FALSE)</f>
        <v>Minas Gerais</v>
      </c>
      <c r="E53" s="16" t="s">
        <v>67</v>
      </c>
      <c r="F53" s="13">
        <f>VLOOKUP($K53,'FATURAMENTO '!$B$2:$F$302,4,FALSE)</f>
        <v>30856</v>
      </c>
      <c r="G53" s="13">
        <f>VLOOKUP($K53,'FATURAMENTO '!$B$2:$F$302,5,FALSE)</f>
        <v>17932.580000000002</v>
      </c>
      <c r="H53" s="5" t="str">
        <f>VLOOKUP($K53,CHURN!$A$2:$E$302,4,FALSE)</f>
        <v>Cancelado</v>
      </c>
      <c r="I53" s="11">
        <f t="shared" si="0"/>
        <v>0.41883004926108369</v>
      </c>
      <c r="J53" s="14" t="str">
        <f t="shared" si="1"/>
        <v>Baixo valor</v>
      </c>
      <c r="K53" t="str">
        <f t="shared" si="2"/>
        <v>I2025-02</v>
      </c>
      <c r="L53" s="5"/>
    </row>
    <row r="54" spans="2:12" x14ac:dyDescent="0.35">
      <c r="B54" s="5" t="s">
        <v>24</v>
      </c>
      <c r="C54" s="5" t="str">
        <f>VLOOKUP(B54,Tabela4[],2,FALSE)</f>
        <v>Média</v>
      </c>
      <c r="D54" s="12" t="str">
        <f>VLOOKUP(B54,Tabela4[],3,FALSE)</f>
        <v>Minas Gerais</v>
      </c>
      <c r="E54" s="16" t="s">
        <v>88</v>
      </c>
      <c r="F54" s="13">
        <f>VLOOKUP($K54,'FATURAMENTO '!$B$2:$F$302,4,FALSE)</f>
        <v>12397</v>
      </c>
      <c r="G54" s="13">
        <f>VLOOKUP($K54,'FATURAMENTO '!$B$2:$F$302,5,FALSE)</f>
        <v>6975.21</v>
      </c>
      <c r="H54" s="5" t="str">
        <f>VLOOKUP($K54,CHURN!$A$2:$E$302,4,FALSE)</f>
        <v>Ativo</v>
      </c>
      <c r="I54" s="11">
        <f t="shared" si="0"/>
        <v>0.43734693877551017</v>
      </c>
      <c r="J54" s="14" t="str">
        <f t="shared" si="1"/>
        <v>Baixo valor</v>
      </c>
      <c r="K54" t="str">
        <f t="shared" si="2"/>
        <v>I2025-03</v>
      </c>
      <c r="L54" s="5"/>
    </row>
    <row r="55" spans="2:12" x14ac:dyDescent="0.35">
      <c r="B55" s="5" t="s">
        <v>24</v>
      </c>
      <c r="C55" s="5" t="str">
        <f>VLOOKUP(B55,Tabela4[],2,FALSE)</f>
        <v>Média</v>
      </c>
      <c r="D55" s="12" t="str">
        <f>VLOOKUP(B55,Tabela4[],3,FALSE)</f>
        <v>Minas Gerais</v>
      </c>
      <c r="E55" s="16" t="s">
        <v>68</v>
      </c>
      <c r="F55" s="13">
        <f>VLOOKUP($K55,'FATURAMENTO '!$B$2:$F$302,4,FALSE)</f>
        <v>35361</v>
      </c>
      <c r="G55" s="13">
        <f>VLOOKUP($K55,'FATURAMENTO '!$B$2:$F$302,5,FALSE)</f>
        <v>22507.87</v>
      </c>
      <c r="H55" s="5" t="str">
        <f>VLOOKUP($K55,CHURN!$A$2:$E$302,4,FALSE)</f>
        <v>Cancelado</v>
      </c>
      <c r="I55" s="11">
        <f t="shared" si="0"/>
        <v>0.36348321597239902</v>
      </c>
      <c r="J55" s="14" t="str">
        <f t="shared" si="1"/>
        <v>Baixo valor</v>
      </c>
      <c r="K55" t="str">
        <f t="shared" si="2"/>
        <v>I2025-04</v>
      </c>
      <c r="L55" s="5"/>
    </row>
    <row r="56" spans="2:12" x14ac:dyDescent="0.35">
      <c r="B56" s="5" t="s">
        <v>24</v>
      </c>
      <c r="C56" s="5" t="str">
        <f>VLOOKUP(B56,Tabela4[],2,FALSE)</f>
        <v>Média</v>
      </c>
      <c r="D56" s="12" t="str">
        <f>VLOOKUP(B56,Tabela4[],3,FALSE)</f>
        <v>Minas Gerais</v>
      </c>
      <c r="E56" s="16" t="s">
        <v>69</v>
      </c>
      <c r="F56" s="13">
        <f>VLOOKUP($K56,'FATURAMENTO '!$B$2:$F$302,4,FALSE)</f>
        <v>13005</v>
      </c>
      <c r="G56" s="13">
        <f>VLOOKUP($K56,'FATURAMENTO '!$B$2:$F$302,5,FALSE)</f>
        <v>10246.040000000001</v>
      </c>
      <c r="H56" s="5" t="str">
        <f>VLOOKUP($K56,CHURN!$A$2:$E$302,4,FALSE)</f>
        <v>Cancelado</v>
      </c>
      <c r="I56" s="11">
        <f t="shared" si="0"/>
        <v>0.21214609765474809</v>
      </c>
      <c r="J56" s="14" t="str">
        <f t="shared" si="1"/>
        <v>Baixo valor</v>
      </c>
      <c r="K56" t="str">
        <f t="shared" si="2"/>
        <v>I2025-05</v>
      </c>
      <c r="L56" s="5"/>
    </row>
    <row r="57" spans="2:12" x14ac:dyDescent="0.35">
      <c r="B57" s="5" t="s">
        <v>25</v>
      </c>
      <c r="C57" s="5" t="str">
        <f>VLOOKUP(B57,Tabela4[],2,FALSE)</f>
        <v>Grande</v>
      </c>
      <c r="D57" s="12" t="str">
        <f>VLOOKUP(B57,Tabela4[],3,FALSE)</f>
        <v>Bahia</v>
      </c>
      <c r="E57" s="16" t="s">
        <v>6</v>
      </c>
      <c r="F57" s="13">
        <f>VLOOKUP($K57,'FATURAMENTO '!$B$2:$F$302,4,FALSE)</f>
        <v>19081</v>
      </c>
      <c r="G57" s="13">
        <f>VLOOKUP($K57,'FATURAMENTO '!$B$2:$F$302,5,FALSE)</f>
        <v>14472.79</v>
      </c>
      <c r="H57" s="5" t="str">
        <f>VLOOKUP($K57,CHURN!$A$2:$E$302,4,FALSE)</f>
        <v>Ativo</v>
      </c>
      <c r="I57" s="11">
        <f t="shared" si="0"/>
        <v>0.24150778261097422</v>
      </c>
      <c r="J57" s="14" t="str">
        <f t="shared" si="1"/>
        <v>Baixo valor</v>
      </c>
      <c r="K57" t="str">
        <f t="shared" si="2"/>
        <v>J2024-12</v>
      </c>
      <c r="L57" s="5"/>
    </row>
    <row r="58" spans="2:12" x14ac:dyDescent="0.35">
      <c r="B58" s="5" t="s">
        <v>25</v>
      </c>
      <c r="C58" s="5" t="str">
        <f>VLOOKUP(B58,Tabela4[],2,FALSE)</f>
        <v>Grande</v>
      </c>
      <c r="D58" s="12" t="str">
        <f>VLOOKUP(B58,Tabela4[],3,FALSE)</f>
        <v>Bahia</v>
      </c>
      <c r="E58" s="16" t="s">
        <v>66</v>
      </c>
      <c r="F58" s="13">
        <f>VLOOKUP($K58,'FATURAMENTO '!$B$2:$F$302,4,FALSE)</f>
        <v>7388</v>
      </c>
      <c r="G58" s="13">
        <f>VLOOKUP($K58,'FATURAMENTO '!$B$2:$F$302,5,FALSE)</f>
        <v>4351.05</v>
      </c>
      <c r="H58" s="5" t="str">
        <f>VLOOKUP($K58,CHURN!$A$2:$E$302,4,FALSE)</f>
        <v>Ativo</v>
      </c>
      <c r="I58" s="11">
        <f t="shared" si="0"/>
        <v>0.41106524093123981</v>
      </c>
      <c r="J58" s="14" t="str">
        <f t="shared" si="1"/>
        <v>Baixo valor</v>
      </c>
      <c r="K58" t="str">
        <f t="shared" si="2"/>
        <v>J2025-01</v>
      </c>
      <c r="L58" s="5"/>
    </row>
    <row r="59" spans="2:12" x14ac:dyDescent="0.35">
      <c r="B59" s="5" t="s">
        <v>25</v>
      </c>
      <c r="C59" s="5" t="str">
        <f>VLOOKUP(B59,Tabela4[],2,FALSE)</f>
        <v>Grande</v>
      </c>
      <c r="D59" s="12" t="str">
        <f>VLOOKUP(B59,Tabela4[],3,FALSE)</f>
        <v>Bahia</v>
      </c>
      <c r="E59" s="16" t="s">
        <v>67</v>
      </c>
      <c r="F59" s="13">
        <f>VLOOKUP($K59,'FATURAMENTO '!$B$2:$F$302,4,FALSE)</f>
        <v>25506</v>
      </c>
      <c r="G59" s="13">
        <f>VLOOKUP($K59,'FATURAMENTO '!$B$2:$F$302,5,FALSE)</f>
        <v>19246.84</v>
      </c>
      <c r="H59" s="5" t="str">
        <f>VLOOKUP($K59,CHURN!$A$2:$E$302,4,FALSE)</f>
        <v>Ativo</v>
      </c>
      <c r="I59" s="11">
        <f t="shared" si="0"/>
        <v>0.24539951383988082</v>
      </c>
      <c r="J59" s="14" t="str">
        <f t="shared" si="1"/>
        <v>Baixo valor</v>
      </c>
      <c r="K59" t="str">
        <f t="shared" si="2"/>
        <v>J2025-02</v>
      </c>
      <c r="L59" s="5"/>
    </row>
    <row r="60" spans="2:12" x14ac:dyDescent="0.35">
      <c r="B60" s="5" t="s">
        <v>25</v>
      </c>
      <c r="C60" s="5" t="str">
        <f>VLOOKUP(B60,Tabela4[],2,FALSE)</f>
        <v>Grande</v>
      </c>
      <c r="D60" s="12" t="str">
        <f>VLOOKUP(B60,Tabela4[],3,FALSE)</f>
        <v>Bahia</v>
      </c>
      <c r="E60" s="16" t="s">
        <v>88</v>
      </c>
      <c r="F60" s="13">
        <f>VLOOKUP($K60,'FATURAMENTO '!$B$2:$F$302,4,FALSE)</f>
        <v>10008</v>
      </c>
      <c r="G60" s="13">
        <f>VLOOKUP($K60,'FATURAMENTO '!$B$2:$F$302,5,FALSE)</f>
        <v>5245.33</v>
      </c>
      <c r="H60" s="5" t="str">
        <f>VLOOKUP($K60,CHURN!$A$2:$E$302,4,FALSE)</f>
        <v>Ativo</v>
      </c>
      <c r="I60" s="11">
        <f t="shared" si="0"/>
        <v>0.47588629096722623</v>
      </c>
      <c r="J60" s="14" t="str">
        <f t="shared" si="1"/>
        <v>Baixo valor</v>
      </c>
      <c r="K60" t="str">
        <f t="shared" si="2"/>
        <v>J2025-03</v>
      </c>
      <c r="L60" s="5"/>
    </row>
    <row r="61" spans="2:12" x14ac:dyDescent="0.35">
      <c r="B61" s="5" t="s">
        <v>25</v>
      </c>
      <c r="C61" s="5" t="str">
        <f>VLOOKUP(B61,Tabela4[],2,FALSE)</f>
        <v>Grande</v>
      </c>
      <c r="D61" s="12" t="str">
        <f>VLOOKUP(B61,Tabela4[],3,FALSE)</f>
        <v>Bahia</v>
      </c>
      <c r="E61" s="16" t="s">
        <v>68</v>
      </c>
      <c r="F61" s="13">
        <f>VLOOKUP($K61,'FATURAMENTO '!$B$2:$F$302,4,FALSE)</f>
        <v>48075</v>
      </c>
      <c r="G61" s="13">
        <f>VLOOKUP($K61,'FATURAMENTO '!$B$2:$F$302,5,FALSE)</f>
        <v>30490.73</v>
      </c>
      <c r="H61" s="5" t="str">
        <f>VLOOKUP($K61,CHURN!$A$2:$E$302,4,FALSE)</f>
        <v>Ativo</v>
      </c>
      <c r="I61" s="11">
        <f t="shared" si="0"/>
        <v>0.36576744669786793</v>
      </c>
      <c r="J61" s="14" t="str">
        <f t="shared" si="1"/>
        <v>Baixo valor</v>
      </c>
      <c r="K61" t="str">
        <f t="shared" si="2"/>
        <v>J2025-04</v>
      </c>
      <c r="L61" s="5"/>
    </row>
    <row r="62" spans="2:12" x14ac:dyDescent="0.35">
      <c r="B62" s="5" t="s">
        <v>25</v>
      </c>
      <c r="C62" s="5" t="str">
        <f>VLOOKUP(B62,Tabela4[],2,FALSE)</f>
        <v>Grande</v>
      </c>
      <c r="D62" s="12" t="str">
        <f>VLOOKUP(B62,Tabela4[],3,FALSE)</f>
        <v>Bahia</v>
      </c>
      <c r="E62" s="16" t="s">
        <v>69</v>
      </c>
      <c r="F62" s="13">
        <f>VLOOKUP($K62,'FATURAMENTO '!$B$2:$F$302,4,FALSE)</f>
        <v>9701</v>
      </c>
      <c r="G62" s="13">
        <f>VLOOKUP($K62,'FATURAMENTO '!$B$2:$F$302,5,FALSE)</f>
        <v>6040.23</v>
      </c>
      <c r="H62" s="5" t="str">
        <f>VLOOKUP($K62,CHURN!$A$2:$E$302,4,FALSE)</f>
        <v>Ativo</v>
      </c>
      <c r="I62" s="11">
        <f t="shared" si="0"/>
        <v>0.37736006597258021</v>
      </c>
      <c r="J62" s="14" t="str">
        <f t="shared" si="1"/>
        <v>Baixo valor</v>
      </c>
      <c r="K62" t="str">
        <f t="shared" si="2"/>
        <v>J2025-05</v>
      </c>
      <c r="L62" s="5"/>
    </row>
    <row r="63" spans="2:12" x14ac:dyDescent="0.35">
      <c r="B63" s="5" t="s">
        <v>26</v>
      </c>
      <c r="C63" s="5" t="str">
        <f>VLOOKUP(B63,Tabela4[],2,FALSE)</f>
        <v>Pequena</v>
      </c>
      <c r="D63" s="12" t="str">
        <f>VLOOKUP(B63,Tabela4[],3,FALSE)</f>
        <v>Santa Catarina</v>
      </c>
      <c r="E63" s="16" t="s">
        <v>6</v>
      </c>
      <c r="F63" s="13">
        <f>VLOOKUP($K63,'FATURAMENTO '!$B$2:$F$302,4,FALSE)</f>
        <v>46897</v>
      </c>
      <c r="G63" s="13">
        <f>VLOOKUP($K63,'FATURAMENTO '!$B$2:$F$302,5,FALSE)</f>
        <v>27429.360000000001</v>
      </c>
      <c r="H63" s="5" t="str">
        <f>VLOOKUP($K63,CHURN!$A$2:$E$302,4,FALSE)</f>
        <v>Ativo</v>
      </c>
      <c r="I63" s="11">
        <f t="shared" si="0"/>
        <v>0.41511482610827982</v>
      </c>
      <c r="J63" s="14" t="str">
        <f t="shared" si="1"/>
        <v>Médio valor</v>
      </c>
      <c r="K63" t="str">
        <f t="shared" si="2"/>
        <v>K2024-12</v>
      </c>
      <c r="L63" s="5"/>
    </row>
    <row r="64" spans="2:12" x14ac:dyDescent="0.35">
      <c r="B64" s="5" t="s">
        <v>26</v>
      </c>
      <c r="C64" s="5" t="str">
        <f>VLOOKUP(B64,Tabela4[],2,FALSE)</f>
        <v>Pequena</v>
      </c>
      <c r="D64" s="12" t="str">
        <f>VLOOKUP(B64,Tabela4[],3,FALSE)</f>
        <v>Santa Catarina</v>
      </c>
      <c r="E64" s="16" t="s">
        <v>66</v>
      </c>
      <c r="F64" s="13">
        <f>VLOOKUP($K64,'FATURAMENTO '!$B$2:$F$302,4,FALSE)</f>
        <v>47608</v>
      </c>
      <c r="G64" s="13">
        <f>VLOOKUP($K64,'FATURAMENTO '!$B$2:$F$302,5,FALSE)</f>
        <v>32658.15</v>
      </c>
      <c r="H64" s="5" t="str">
        <f>VLOOKUP($K64,CHURN!$A$2:$E$302,4,FALSE)</f>
        <v>Ativo</v>
      </c>
      <c r="I64" s="11">
        <f t="shared" si="0"/>
        <v>0.31401970257099643</v>
      </c>
      <c r="J64" s="14" t="str">
        <f t="shared" si="1"/>
        <v>Médio valor</v>
      </c>
      <c r="K64" t="str">
        <f t="shared" si="2"/>
        <v>K2025-01</v>
      </c>
      <c r="L64" s="5"/>
    </row>
    <row r="65" spans="2:12" x14ac:dyDescent="0.35">
      <c r="B65" s="5" t="s">
        <v>26</v>
      </c>
      <c r="C65" s="5" t="str">
        <f>VLOOKUP(B65,Tabela4[],2,FALSE)</f>
        <v>Pequena</v>
      </c>
      <c r="D65" s="12" t="str">
        <f>VLOOKUP(B65,Tabela4[],3,FALSE)</f>
        <v>Santa Catarina</v>
      </c>
      <c r="E65" s="16" t="s">
        <v>67</v>
      </c>
      <c r="F65" s="13">
        <f>VLOOKUP($K65,'FATURAMENTO '!$B$2:$F$302,4,FALSE)</f>
        <v>40680</v>
      </c>
      <c r="G65" s="13">
        <f>VLOOKUP($K65,'FATURAMENTO '!$B$2:$F$302,5,FALSE)</f>
        <v>27671.35</v>
      </c>
      <c r="H65" s="5" t="str">
        <f>VLOOKUP($K65,CHURN!$A$2:$E$302,4,FALSE)</f>
        <v>Ativo</v>
      </c>
      <c r="I65" s="11">
        <f t="shared" si="0"/>
        <v>0.31977999016715836</v>
      </c>
      <c r="J65" s="14" t="str">
        <f t="shared" si="1"/>
        <v>Médio valor</v>
      </c>
      <c r="K65" t="str">
        <f t="shared" si="2"/>
        <v>K2025-02</v>
      </c>
      <c r="L65" s="5"/>
    </row>
    <row r="66" spans="2:12" x14ac:dyDescent="0.35">
      <c r="B66" s="5" t="s">
        <v>26</v>
      </c>
      <c r="C66" s="5" t="str">
        <f>VLOOKUP(B66,Tabela4[],2,FALSE)</f>
        <v>Pequena</v>
      </c>
      <c r="D66" s="12" t="str">
        <f>VLOOKUP(B66,Tabela4[],3,FALSE)</f>
        <v>Santa Catarina</v>
      </c>
      <c r="E66" s="16" t="s">
        <v>88</v>
      </c>
      <c r="F66" s="13">
        <f>VLOOKUP($K66,'FATURAMENTO '!$B$2:$F$302,4,FALSE)</f>
        <v>32521</v>
      </c>
      <c r="G66" s="13">
        <f>VLOOKUP($K66,'FATURAMENTO '!$B$2:$F$302,5,FALSE)</f>
        <v>25280.02</v>
      </c>
      <c r="H66" s="5" t="str">
        <f>VLOOKUP($K66,CHURN!$A$2:$E$302,4,FALSE)</f>
        <v>Ativo</v>
      </c>
      <c r="I66" s="11">
        <f t="shared" si="0"/>
        <v>0.22265551489806584</v>
      </c>
      <c r="J66" s="14" t="str">
        <f t="shared" si="1"/>
        <v>Médio valor</v>
      </c>
      <c r="K66" t="str">
        <f t="shared" si="2"/>
        <v>K2025-03</v>
      </c>
      <c r="L66" s="5"/>
    </row>
    <row r="67" spans="2:12" x14ac:dyDescent="0.35">
      <c r="B67" s="5" t="s">
        <v>26</v>
      </c>
      <c r="C67" s="5" t="str">
        <f>VLOOKUP(B67,Tabela4[],2,FALSE)</f>
        <v>Pequena</v>
      </c>
      <c r="D67" s="12" t="str">
        <f>VLOOKUP(B67,Tabela4[],3,FALSE)</f>
        <v>Santa Catarina</v>
      </c>
      <c r="E67" s="16" t="s">
        <v>68</v>
      </c>
      <c r="F67" s="13">
        <f>VLOOKUP($K67,'FATURAMENTO '!$B$2:$F$302,4,FALSE)</f>
        <v>12557</v>
      </c>
      <c r="G67" s="13">
        <f>VLOOKUP($K67,'FATURAMENTO '!$B$2:$F$302,5,FALSE)</f>
        <v>9886.14</v>
      </c>
      <c r="H67" s="5" t="str">
        <f>VLOOKUP($K67,CHURN!$A$2:$E$302,4,FALSE)</f>
        <v>Ativo</v>
      </c>
      <c r="I67" s="11">
        <f t="shared" si="0"/>
        <v>0.21269889304770254</v>
      </c>
      <c r="J67" s="14" t="str">
        <f t="shared" si="1"/>
        <v>Médio valor</v>
      </c>
      <c r="K67" t="str">
        <f t="shared" si="2"/>
        <v>K2025-04</v>
      </c>
      <c r="L67" s="5"/>
    </row>
    <row r="68" spans="2:12" x14ac:dyDescent="0.35">
      <c r="B68" s="5" t="s">
        <v>26</v>
      </c>
      <c r="C68" s="5" t="str">
        <f>VLOOKUP(B68,Tabela4[],2,FALSE)</f>
        <v>Pequena</v>
      </c>
      <c r="D68" s="12" t="str">
        <f>VLOOKUP(B68,Tabela4[],3,FALSE)</f>
        <v>Santa Catarina</v>
      </c>
      <c r="E68" s="16" t="s">
        <v>69</v>
      </c>
      <c r="F68" s="13">
        <f>VLOOKUP($K68,'FATURAMENTO '!$B$2:$F$302,4,FALSE)</f>
        <v>7527</v>
      </c>
      <c r="G68" s="13">
        <f>VLOOKUP($K68,'FATURAMENTO '!$B$2:$F$302,5,FALSE)</f>
        <v>4386.0200000000004</v>
      </c>
      <c r="H68" s="5" t="str">
        <f>VLOOKUP($K68,CHURN!$A$2:$E$302,4,FALSE)</f>
        <v>Ativo</v>
      </c>
      <c r="I68" s="11">
        <f t="shared" ref="I68:I131" si="3">(F68-G68)/F68</f>
        <v>0.41729507107745445</v>
      </c>
      <c r="J68" s="14" t="str">
        <f t="shared" ref="J68:J131" si="4">IF(INDEX($I$3:$I$302,MATCH(B68,$B$3:$B$302,0))&gt;50%,"Alto valor",IF(INDEX($I$3:$I$302,MATCH(B68,$B$3:$B$302,0))&gt;=30%,"Médio valor","Baixo valor"))</f>
        <v>Médio valor</v>
      </c>
      <c r="K68" t="str">
        <f t="shared" ref="K68:K131" si="5">CONCATENATE(B68,E68)</f>
        <v>K2025-05</v>
      </c>
      <c r="L68" s="5"/>
    </row>
    <row r="69" spans="2:12" x14ac:dyDescent="0.35">
      <c r="B69" s="5" t="s">
        <v>27</v>
      </c>
      <c r="C69" s="5" t="str">
        <f>VLOOKUP(B69,Tabela4[],2,FALSE)</f>
        <v>Grande</v>
      </c>
      <c r="D69" s="12" t="str">
        <f>VLOOKUP(B69,Tabela4[],3,FALSE)</f>
        <v>Distrito Federal</v>
      </c>
      <c r="E69" s="16" t="s">
        <v>6</v>
      </c>
      <c r="F69" s="13">
        <f>VLOOKUP($K69,'FATURAMENTO '!$B$2:$F$302,4,FALSE)</f>
        <v>36806</v>
      </c>
      <c r="G69" s="13">
        <f>VLOOKUP($K69,'FATURAMENTO '!$B$2:$F$302,5,FALSE)</f>
        <v>21473.11</v>
      </c>
      <c r="H69" s="5" t="str">
        <f>VLOOKUP($K69,CHURN!$A$2:$E$302,4,FALSE)</f>
        <v>Ativo</v>
      </c>
      <c r="I69" s="11">
        <f t="shared" si="3"/>
        <v>0.41658669782100743</v>
      </c>
      <c r="J69" s="14" t="str">
        <f t="shared" si="4"/>
        <v>Médio valor</v>
      </c>
      <c r="K69" t="str">
        <f t="shared" si="5"/>
        <v>L2024-12</v>
      </c>
      <c r="L69" s="5"/>
    </row>
    <row r="70" spans="2:12" x14ac:dyDescent="0.35">
      <c r="B70" s="5" t="s">
        <v>27</v>
      </c>
      <c r="C70" s="5" t="str">
        <f>VLOOKUP(B70,Tabela4[],2,FALSE)</f>
        <v>Grande</v>
      </c>
      <c r="D70" s="12" t="str">
        <f>VLOOKUP(B70,Tabela4[],3,FALSE)</f>
        <v>Distrito Federal</v>
      </c>
      <c r="E70" s="16" t="s">
        <v>66</v>
      </c>
      <c r="F70" s="13">
        <f>VLOOKUP($K70,'FATURAMENTO '!$B$2:$F$302,4,FALSE)</f>
        <v>21716</v>
      </c>
      <c r="G70" s="13">
        <f>VLOOKUP($K70,'FATURAMENTO '!$B$2:$F$302,5,FALSE)</f>
        <v>12776.22</v>
      </c>
      <c r="H70" s="5" t="str">
        <f>VLOOKUP($K70,CHURN!$A$2:$E$302,4,FALSE)</f>
        <v>Ativo</v>
      </c>
      <c r="I70" s="11">
        <f t="shared" si="3"/>
        <v>0.41166789463989689</v>
      </c>
      <c r="J70" s="14" t="str">
        <f t="shared" si="4"/>
        <v>Médio valor</v>
      </c>
      <c r="K70" t="str">
        <f t="shared" si="5"/>
        <v>L2025-01</v>
      </c>
      <c r="L70" s="5"/>
    </row>
    <row r="71" spans="2:12" x14ac:dyDescent="0.35">
      <c r="B71" s="5" t="s">
        <v>27</v>
      </c>
      <c r="C71" s="5" t="str">
        <f>VLOOKUP(B71,Tabela4[],2,FALSE)</f>
        <v>Grande</v>
      </c>
      <c r="D71" s="12" t="str">
        <f>VLOOKUP(B71,Tabela4[],3,FALSE)</f>
        <v>Distrito Federal</v>
      </c>
      <c r="E71" s="16" t="s">
        <v>67</v>
      </c>
      <c r="F71" s="13">
        <f>VLOOKUP($K71,'FATURAMENTO '!$B$2:$F$302,4,FALSE)</f>
        <v>20446</v>
      </c>
      <c r="G71" s="13">
        <f>VLOOKUP($K71,'FATURAMENTO '!$B$2:$F$302,5,FALSE)</f>
        <v>11448.38</v>
      </c>
      <c r="H71" s="5" t="str">
        <f>VLOOKUP($K71,CHURN!$A$2:$E$302,4,FALSE)</f>
        <v>Ativo</v>
      </c>
      <c r="I71" s="11">
        <f t="shared" si="3"/>
        <v>0.44006749486452124</v>
      </c>
      <c r="J71" s="14" t="str">
        <f t="shared" si="4"/>
        <v>Médio valor</v>
      </c>
      <c r="K71" t="str">
        <f t="shared" si="5"/>
        <v>L2025-02</v>
      </c>
      <c r="L71" s="5"/>
    </row>
    <row r="72" spans="2:12" x14ac:dyDescent="0.35">
      <c r="B72" s="5" t="s">
        <v>27</v>
      </c>
      <c r="C72" s="5" t="str">
        <f>VLOOKUP(B72,Tabela4[],2,FALSE)</f>
        <v>Grande</v>
      </c>
      <c r="D72" s="12" t="str">
        <f>VLOOKUP(B72,Tabela4[],3,FALSE)</f>
        <v>Distrito Federal</v>
      </c>
      <c r="E72" s="16" t="s">
        <v>88</v>
      </c>
      <c r="F72" s="13">
        <f>VLOOKUP($K72,'FATURAMENTO '!$B$2:$F$302,4,FALSE)</f>
        <v>23460</v>
      </c>
      <c r="G72" s="13">
        <f>VLOOKUP($K72,'FATURAMENTO '!$B$2:$F$302,5,FALSE)</f>
        <v>17324.41</v>
      </c>
      <c r="H72" s="5" t="str">
        <f>VLOOKUP($K72,CHURN!$A$2:$E$302,4,FALSE)</f>
        <v>Ativo</v>
      </c>
      <c r="I72" s="11">
        <f t="shared" si="3"/>
        <v>0.26153410059676047</v>
      </c>
      <c r="J72" s="14" t="str">
        <f t="shared" si="4"/>
        <v>Médio valor</v>
      </c>
      <c r="K72" t="str">
        <f t="shared" si="5"/>
        <v>L2025-03</v>
      </c>
      <c r="L72" s="5"/>
    </row>
    <row r="73" spans="2:12" x14ac:dyDescent="0.35">
      <c r="B73" s="5" t="s">
        <v>27</v>
      </c>
      <c r="C73" s="5" t="str">
        <f>VLOOKUP(B73,Tabela4[],2,FALSE)</f>
        <v>Grande</v>
      </c>
      <c r="D73" s="12" t="str">
        <f>VLOOKUP(B73,Tabela4[],3,FALSE)</f>
        <v>Distrito Federal</v>
      </c>
      <c r="E73" s="16" t="s">
        <v>68</v>
      </c>
      <c r="F73" s="13">
        <f>VLOOKUP($K73,'FATURAMENTO '!$B$2:$F$302,4,FALSE)</f>
        <v>23755</v>
      </c>
      <c r="G73" s="13">
        <f>VLOOKUP($K73,'FATURAMENTO '!$B$2:$F$302,5,FALSE)</f>
        <v>15754.91</v>
      </c>
      <c r="H73" s="5" t="str">
        <f>VLOOKUP($K73,CHURN!$A$2:$E$302,4,FALSE)</f>
        <v>Ativo</v>
      </c>
      <c r="I73" s="11">
        <f t="shared" si="3"/>
        <v>0.33677499473794992</v>
      </c>
      <c r="J73" s="14" t="str">
        <f t="shared" si="4"/>
        <v>Médio valor</v>
      </c>
      <c r="K73" t="str">
        <f t="shared" si="5"/>
        <v>L2025-04</v>
      </c>
      <c r="L73" s="5"/>
    </row>
    <row r="74" spans="2:12" x14ac:dyDescent="0.35">
      <c r="B74" s="5" t="s">
        <v>27</v>
      </c>
      <c r="C74" s="5" t="str">
        <f>VLOOKUP(B74,Tabela4[],2,FALSE)</f>
        <v>Grande</v>
      </c>
      <c r="D74" s="12" t="str">
        <f>VLOOKUP(B74,Tabela4[],3,FALSE)</f>
        <v>Distrito Federal</v>
      </c>
      <c r="E74" s="16" t="s">
        <v>69</v>
      </c>
      <c r="F74" s="13">
        <f>VLOOKUP($K74,'FATURAMENTO '!$B$2:$F$302,4,FALSE)</f>
        <v>47467</v>
      </c>
      <c r="G74" s="13">
        <f>VLOOKUP($K74,'FATURAMENTO '!$B$2:$F$302,5,FALSE)</f>
        <v>36284.089999999997</v>
      </c>
      <c r="H74" s="5" t="str">
        <f>VLOOKUP($K74,CHURN!$A$2:$E$302,4,FALSE)</f>
        <v>Ativo</v>
      </c>
      <c r="I74" s="11">
        <f t="shared" si="3"/>
        <v>0.23559335959719391</v>
      </c>
      <c r="J74" s="14" t="str">
        <f t="shared" si="4"/>
        <v>Médio valor</v>
      </c>
      <c r="K74" t="str">
        <f t="shared" si="5"/>
        <v>L2025-05</v>
      </c>
      <c r="L74" s="5"/>
    </row>
    <row r="75" spans="2:12" x14ac:dyDescent="0.35">
      <c r="B75" s="5" t="s">
        <v>28</v>
      </c>
      <c r="C75" s="5" t="str">
        <f>VLOOKUP(B75,Tabela4[],2,FALSE)</f>
        <v>Média</v>
      </c>
      <c r="D75" s="12" t="str">
        <f>VLOOKUP(B75,Tabela4[],3,FALSE)</f>
        <v>Ceará</v>
      </c>
      <c r="E75" s="16" t="s">
        <v>6</v>
      </c>
      <c r="F75" s="13">
        <f>VLOOKUP($K75,'FATURAMENTO '!$B$2:$F$302,4,FALSE)</f>
        <v>18899</v>
      </c>
      <c r="G75" s="13">
        <f>VLOOKUP($K75,'FATURAMENTO '!$B$2:$F$302,5,FALSE)</f>
        <v>10332.93</v>
      </c>
      <c r="H75" s="5" t="str">
        <f>VLOOKUP($K75,CHURN!$A$2:$E$302,4,FALSE)</f>
        <v>Ativo</v>
      </c>
      <c r="I75" s="11">
        <f t="shared" si="3"/>
        <v>0.45325519868776126</v>
      </c>
      <c r="J75" s="14" t="str">
        <f t="shared" si="4"/>
        <v>Médio valor</v>
      </c>
      <c r="K75" t="str">
        <f t="shared" si="5"/>
        <v>M2024-12</v>
      </c>
      <c r="L75" s="5"/>
    </row>
    <row r="76" spans="2:12" x14ac:dyDescent="0.35">
      <c r="B76" s="5" t="s">
        <v>28</v>
      </c>
      <c r="C76" s="5" t="str">
        <f>VLOOKUP(B76,Tabela4[],2,FALSE)</f>
        <v>Média</v>
      </c>
      <c r="D76" s="12" t="str">
        <f>VLOOKUP(B76,Tabela4[],3,FALSE)</f>
        <v>Ceará</v>
      </c>
      <c r="E76" s="16" t="s">
        <v>66</v>
      </c>
      <c r="F76" s="13">
        <f>VLOOKUP($K76,'FATURAMENTO '!$B$2:$F$302,4,FALSE)</f>
        <v>9629</v>
      </c>
      <c r="G76" s="13">
        <f>VLOOKUP($K76,'FATURAMENTO '!$B$2:$F$302,5,FALSE)</f>
        <v>7664.88</v>
      </c>
      <c r="H76" s="5" t="str">
        <f>VLOOKUP($K76,CHURN!$A$2:$E$302,4,FALSE)</f>
        <v>Ativo</v>
      </c>
      <c r="I76" s="11">
        <f t="shared" si="3"/>
        <v>0.20397964482293071</v>
      </c>
      <c r="J76" s="14" t="str">
        <f t="shared" si="4"/>
        <v>Médio valor</v>
      </c>
      <c r="K76" t="str">
        <f t="shared" si="5"/>
        <v>M2025-01</v>
      </c>
      <c r="L76" s="5"/>
    </row>
    <row r="77" spans="2:12" x14ac:dyDescent="0.35">
      <c r="B77" s="5" t="s">
        <v>28</v>
      </c>
      <c r="C77" s="5" t="str">
        <f>VLOOKUP(B77,Tabela4[],2,FALSE)</f>
        <v>Média</v>
      </c>
      <c r="D77" s="12" t="str">
        <f>VLOOKUP(B77,Tabela4[],3,FALSE)</f>
        <v>Ceará</v>
      </c>
      <c r="E77" s="16" t="s">
        <v>67</v>
      </c>
      <c r="F77" s="13">
        <f>VLOOKUP($K77,'FATURAMENTO '!$B$2:$F$302,4,FALSE)</f>
        <v>9867</v>
      </c>
      <c r="G77" s="13">
        <f>VLOOKUP($K77,'FATURAMENTO '!$B$2:$F$302,5,FALSE)</f>
        <v>5296.05</v>
      </c>
      <c r="H77" s="5" t="str">
        <f>VLOOKUP($K77,CHURN!$A$2:$E$302,4,FALSE)</f>
        <v>Ativo</v>
      </c>
      <c r="I77" s="11">
        <f t="shared" si="3"/>
        <v>0.46325630890848279</v>
      </c>
      <c r="J77" s="14" t="str">
        <f t="shared" si="4"/>
        <v>Médio valor</v>
      </c>
      <c r="K77" t="str">
        <f t="shared" si="5"/>
        <v>M2025-02</v>
      </c>
      <c r="L77" s="5"/>
    </row>
    <row r="78" spans="2:12" x14ac:dyDescent="0.35">
      <c r="B78" s="5" t="s">
        <v>28</v>
      </c>
      <c r="C78" s="5" t="str">
        <f>VLOOKUP(B78,Tabela4[],2,FALSE)</f>
        <v>Média</v>
      </c>
      <c r="D78" s="12" t="str">
        <f>VLOOKUP(B78,Tabela4[],3,FALSE)</f>
        <v>Ceará</v>
      </c>
      <c r="E78" s="16" t="s">
        <v>88</v>
      </c>
      <c r="F78" s="13">
        <f>VLOOKUP($K78,'FATURAMENTO '!$B$2:$F$302,4,FALSE)</f>
        <v>26670</v>
      </c>
      <c r="G78" s="13">
        <f>VLOOKUP($K78,'FATURAMENTO '!$B$2:$F$302,5,FALSE)</f>
        <v>20567.97</v>
      </c>
      <c r="H78" s="5" t="str">
        <f>VLOOKUP($K78,CHURN!$A$2:$E$302,4,FALSE)</f>
        <v>Cancelado</v>
      </c>
      <c r="I78" s="11">
        <f t="shared" si="3"/>
        <v>0.22879752530933628</v>
      </c>
      <c r="J78" s="14" t="str">
        <f t="shared" si="4"/>
        <v>Médio valor</v>
      </c>
      <c r="K78" t="str">
        <f t="shared" si="5"/>
        <v>M2025-03</v>
      </c>
      <c r="L78" s="5"/>
    </row>
    <row r="79" spans="2:12" x14ac:dyDescent="0.35">
      <c r="B79" s="5" t="s">
        <v>28</v>
      </c>
      <c r="C79" s="5" t="str">
        <f>VLOOKUP(B79,Tabela4[],2,FALSE)</f>
        <v>Média</v>
      </c>
      <c r="D79" s="12" t="str">
        <f>VLOOKUP(B79,Tabela4[],3,FALSE)</f>
        <v>Ceará</v>
      </c>
      <c r="E79" s="16" t="s">
        <v>68</v>
      </c>
      <c r="F79" s="13">
        <f>VLOOKUP($K79,'FATURAMENTO '!$B$2:$F$302,4,FALSE)</f>
        <v>38849</v>
      </c>
      <c r="G79" s="13">
        <f>VLOOKUP($K79,'FATURAMENTO '!$B$2:$F$302,5,FALSE)</f>
        <v>24675.66</v>
      </c>
      <c r="H79" s="5" t="str">
        <f>VLOOKUP($K79,CHURN!$A$2:$E$302,4,FALSE)</f>
        <v>Ativo</v>
      </c>
      <c r="I79" s="11">
        <f t="shared" si="3"/>
        <v>0.3648315271950372</v>
      </c>
      <c r="J79" s="14" t="str">
        <f t="shared" si="4"/>
        <v>Médio valor</v>
      </c>
      <c r="K79" t="str">
        <f t="shared" si="5"/>
        <v>M2025-04</v>
      </c>
      <c r="L79" s="5"/>
    </row>
    <row r="80" spans="2:12" x14ac:dyDescent="0.35">
      <c r="B80" s="5" t="s">
        <v>28</v>
      </c>
      <c r="C80" s="5" t="str">
        <f>VLOOKUP(B80,Tabela4[],2,FALSE)</f>
        <v>Média</v>
      </c>
      <c r="D80" s="12" t="str">
        <f>VLOOKUP(B80,Tabela4[],3,FALSE)</f>
        <v>Ceará</v>
      </c>
      <c r="E80" s="16" t="s">
        <v>69</v>
      </c>
      <c r="F80" s="13">
        <f>VLOOKUP($K80,'FATURAMENTO '!$B$2:$F$302,4,FALSE)</f>
        <v>19165</v>
      </c>
      <c r="G80" s="13">
        <f>VLOOKUP($K80,'FATURAMENTO '!$B$2:$F$302,5,FALSE)</f>
        <v>12147.41</v>
      </c>
      <c r="H80" s="5" t="str">
        <f>VLOOKUP($K80,CHURN!$A$2:$E$302,4,FALSE)</f>
        <v>Ativo</v>
      </c>
      <c r="I80" s="11">
        <f t="shared" si="3"/>
        <v>0.36616697104096008</v>
      </c>
      <c r="J80" s="14" t="str">
        <f t="shared" si="4"/>
        <v>Médio valor</v>
      </c>
      <c r="K80" t="str">
        <f t="shared" si="5"/>
        <v>M2025-05</v>
      </c>
      <c r="L80" s="5"/>
    </row>
    <row r="81" spans="2:12" x14ac:dyDescent="0.35">
      <c r="B81" s="5" t="s">
        <v>29</v>
      </c>
      <c r="C81" s="5" t="str">
        <f>VLOOKUP(B81,Tabela4[],2,FALSE)</f>
        <v>Média</v>
      </c>
      <c r="D81" s="12" t="str">
        <f>VLOOKUP(B81,Tabela4[],3,FALSE)</f>
        <v>São Paulo</v>
      </c>
      <c r="E81" s="16" t="s">
        <v>6</v>
      </c>
      <c r="F81" s="13">
        <f>VLOOKUP($K81,'FATURAMENTO '!$B$2:$F$302,4,FALSE)</f>
        <v>24247</v>
      </c>
      <c r="G81" s="13">
        <f>VLOOKUP($K81,'FATURAMENTO '!$B$2:$F$302,5,FALSE)</f>
        <v>12695.52</v>
      </c>
      <c r="H81" s="5" t="str">
        <f>VLOOKUP($K81,CHURN!$A$2:$E$302,4,FALSE)</f>
        <v>Ativo</v>
      </c>
      <c r="I81" s="11">
        <f t="shared" si="3"/>
        <v>0.47640862787148924</v>
      </c>
      <c r="J81" s="14" t="str">
        <f t="shared" si="4"/>
        <v>Médio valor</v>
      </c>
      <c r="K81" t="str">
        <f t="shared" si="5"/>
        <v>N2024-12</v>
      </c>
      <c r="L81" s="5"/>
    </row>
    <row r="82" spans="2:12" x14ac:dyDescent="0.35">
      <c r="B82" s="5" t="s">
        <v>29</v>
      </c>
      <c r="C82" s="5" t="str">
        <f>VLOOKUP(B82,Tabela4[],2,FALSE)</f>
        <v>Média</v>
      </c>
      <c r="D82" s="12" t="str">
        <f>VLOOKUP(B82,Tabela4[],3,FALSE)</f>
        <v>São Paulo</v>
      </c>
      <c r="E82" s="16" t="s">
        <v>66</v>
      </c>
      <c r="F82" s="13">
        <f>VLOOKUP($K82,'FATURAMENTO '!$B$2:$F$302,4,FALSE)</f>
        <v>36928</v>
      </c>
      <c r="G82" s="13">
        <f>VLOOKUP($K82,'FATURAMENTO '!$B$2:$F$302,5,FALSE)</f>
        <v>20397.37</v>
      </c>
      <c r="H82" s="5" t="str">
        <f>VLOOKUP($K82,CHURN!$A$2:$E$302,4,FALSE)</f>
        <v>Ativo</v>
      </c>
      <c r="I82" s="11">
        <f t="shared" si="3"/>
        <v>0.44764487651646451</v>
      </c>
      <c r="J82" s="14" t="str">
        <f t="shared" si="4"/>
        <v>Médio valor</v>
      </c>
      <c r="K82" t="str">
        <f t="shared" si="5"/>
        <v>N2025-01</v>
      </c>
      <c r="L82" s="5"/>
    </row>
    <row r="83" spans="2:12" x14ac:dyDescent="0.35">
      <c r="B83" s="5" t="s">
        <v>29</v>
      </c>
      <c r="C83" s="5" t="str">
        <f>VLOOKUP(B83,Tabela4[],2,FALSE)</f>
        <v>Média</v>
      </c>
      <c r="D83" s="12" t="str">
        <f>VLOOKUP(B83,Tabela4[],3,FALSE)</f>
        <v>São Paulo</v>
      </c>
      <c r="E83" s="16" t="s">
        <v>67</v>
      </c>
      <c r="F83" s="13">
        <f>VLOOKUP($K83,'FATURAMENTO '!$B$2:$F$302,4,FALSE)</f>
        <v>9259</v>
      </c>
      <c r="G83" s="13">
        <f>VLOOKUP($K83,'FATURAMENTO '!$B$2:$F$302,5,FALSE)</f>
        <v>6297.21</v>
      </c>
      <c r="H83" s="5" t="str">
        <f>VLOOKUP($K83,CHURN!$A$2:$E$302,4,FALSE)</f>
        <v>Cancelado</v>
      </c>
      <c r="I83" s="11">
        <f t="shared" si="3"/>
        <v>0.31988227670374769</v>
      </c>
      <c r="J83" s="14" t="str">
        <f t="shared" si="4"/>
        <v>Médio valor</v>
      </c>
      <c r="K83" t="str">
        <f t="shared" si="5"/>
        <v>N2025-02</v>
      </c>
      <c r="L83" s="5"/>
    </row>
    <row r="84" spans="2:12" x14ac:dyDescent="0.35">
      <c r="B84" s="5" t="s">
        <v>29</v>
      </c>
      <c r="C84" s="5" t="str">
        <f>VLOOKUP(B84,Tabela4[],2,FALSE)</f>
        <v>Média</v>
      </c>
      <c r="D84" s="12" t="str">
        <f>VLOOKUP(B84,Tabela4[],3,FALSE)</f>
        <v>São Paulo</v>
      </c>
      <c r="E84" s="16" t="s">
        <v>88</v>
      </c>
      <c r="F84" s="13">
        <f>VLOOKUP($K84,'FATURAMENTO '!$B$2:$F$302,4,FALSE)</f>
        <v>44919</v>
      </c>
      <c r="G84" s="13">
        <f>VLOOKUP($K84,'FATURAMENTO '!$B$2:$F$302,5,FALSE)</f>
        <v>25245.84</v>
      </c>
      <c r="H84" s="5" t="str">
        <f>VLOOKUP($K84,CHURN!$A$2:$E$302,4,FALSE)</f>
        <v>Ativo</v>
      </c>
      <c r="I84" s="11">
        <f t="shared" si="3"/>
        <v>0.43796967875509252</v>
      </c>
      <c r="J84" s="14" t="str">
        <f t="shared" si="4"/>
        <v>Médio valor</v>
      </c>
      <c r="K84" t="str">
        <f t="shared" si="5"/>
        <v>N2025-03</v>
      </c>
      <c r="L84" s="5"/>
    </row>
    <row r="85" spans="2:12" x14ac:dyDescent="0.35">
      <c r="B85" s="5" t="s">
        <v>29</v>
      </c>
      <c r="C85" s="5" t="str">
        <f>VLOOKUP(B85,Tabela4[],2,FALSE)</f>
        <v>Média</v>
      </c>
      <c r="D85" s="12" t="str">
        <f>VLOOKUP(B85,Tabela4[],3,FALSE)</f>
        <v>São Paulo</v>
      </c>
      <c r="E85" s="16" t="s">
        <v>68</v>
      </c>
      <c r="F85" s="13">
        <f>VLOOKUP($K85,'FATURAMENTO '!$B$2:$F$302,4,FALSE)</f>
        <v>48838</v>
      </c>
      <c r="G85" s="13">
        <f>VLOOKUP($K85,'FATURAMENTO '!$B$2:$F$302,5,FALSE)</f>
        <v>27511.29</v>
      </c>
      <c r="H85" s="5" t="str">
        <f>VLOOKUP($K85,CHURN!$A$2:$E$302,4,FALSE)</f>
        <v>Ativo</v>
      </c>
      <c r="I85" s="11">
        <f t="shared" si="3"/>
        <v>0.43668270608952042</v>
      </c>
      <c r="J85" s="14" t="str">
        <f t="shared" si="4"/>
        <v>Médio valor</v>
      </c>
      <c r="K85" t="str">
        <f t="shared" si="5"/>
        <v>N2025-04</v>
      </c>
      <c r="L85" s="5"/>
    </row>
    <row r="86" spans="2:12" x14ac:dyDescent="0.35">
      <c r="B86" s="5" t="s">
        <v>29</v>
      </c>
      <c r="C86" s="5" t="str">
        <f>VLOOKUP(B86,Tabela4[],2,FALSE)</f>
        <v>Média</v>
      </c>
      <c r="D86" s="12" t="str">
        <f>VLOOKUP(B86,Tabela4[],3,FALSE)</f>
        <v>São Paulo</v>
      </c>
      <c r="E86" s="16" t="s">
        <v>69</v>
      </c>
      <c r="F86" s="13">
        <f>VLOOKUP($K86,'FATURAMENTO '!$B$2:$F$302,4,FALSE)</f>
        <v>20203</v>
      </c>
      <c r="G86" s="13">
        <f>VLOOKUP($K86,'FATURAMENTO '!$B$2:$F$302,5,FALSE)</f>
        <v>14594.09</v>
      </c>
      <c r="H86" s="5" t="str">
        <f>VLOOKUP($K86,CHURN!$A$2:$E$302,4,FALSE)</f>
        <v>Ativo</v>
      </c>
      <c r="I86" s="11">
        <f t="shared" si="3"/>
        <v>0.27762758006236699</v>
      </c>
      <c r="J86" s="14" t="str">
        <f t="shared" si="4"/>
        <v>Médio valor</v>
      </c>
      <c r="K86" t="str">
        <f t="shared" si="5"/>
        <v>N2025-05</v>
      </c>
      <c r="L86" s="5"/>
    </row>
    <row r="87" spans="2:12" x14ac:dyDescent="0.35">
      <c r="B87" s="5" t="s">
        <v>30</v>
      </c>
      <c r="C87" s="5" t="str">
        <f>VLOOKUP(B87,Tabela4[],2,FALSE)</f>
        <v>Pequena</v>
      </c>
      <c r="D87" s="12" t="str">
        <f>VLOOKUP(B87,Tabela4[],3,FALSE)</f>
        <v>Rio Grande do Sul</v>
      </c>
      <c r="E87" s="16" t="s">
        <v>6</v>
      </c>
      <c r="F87" s="13">
        <f>VLOOKUP($K87,'FATURAMENTO '!$B$2:$F$302,4,FALSE)</f>
        <v>25062</v>
      </c>
      <c r="G87" s="13">
        <f>VLOOKUP($K87,'FATURAMENTO '!$B$2:$F$302,5,FALSE)</f>
        <v>18422.669999999998</v>
      </c>
      <c r="H87" s="5" t="str">
        <f>VLOOKUP($K87,CHURN!$A$2:$E$302,4,FALSE)</f>
        <v>Ativo</v>
      </c>
      <c r="I87" s="11">
        <f t="shared" si="3"/>
        <v>0.26491620780464453</v>
      </c>
      <c r="J87" s="14" t="str">
        <f t="shared" si="4"/>
        <v>Baixo valor</v>
      </c>
      <c r="K87" t="str">
        <f t="shared" si="5"/>
        <v>O2024-12</v>
      </c>
      <c r="L87" s="5"/>
    </row>
    <row r="88" spans="2:12" x14ac:dyDescent="0.35">
      <c r="B88" s="5" t="s">
        <v>30</v>
      </c>
      <c r="C88" s="5" t="str">
        <f>VLOOKUP(B88,Tabela4[],2,FALSE)</f>
        <v>Pequena</v>
      </c>
      <c r="D88" s="12" t="str">
        <f>VLOOKUP(B88,Tabela4[],3,FALSE)</f>
        <v>Rio Grande do Sul</v>
      </c>
      <c r="E88" s="16" t="s">
        <v>66</v>
      </c>
      <c r="F88" s="13">
        <f>VLOOKUP($K88,'FATURAMENTO '!$B$2:$F$302,4,FALSE)</f>
        <v>34086</v>
      </c>
      <c r="G88" s="13">
        <f>VLOOKUP($K88,'FATURAMENTO '!$B$2:$F$302,5,FALSE)</f>
        <v>24226.6</v>
      </c>
      <c r="H88" s="5" t="str">
        <f>VLOOKUP($K88,CHURN!$A$2:$E$302,4,FALSE)</f>
        <v>Ativo</v>
      </c>
      <c r="I88" s="11">
        <f t="shared" si="3"/>
        <v>0.28925071877016961</v>
      </c>
      <c r="J88" s="14" t="str">
        <f t="shared" si="4"/>
        <v>Baixo valor</v>
      </c>
      <c r="K88" t="str">
        <f t="shared" si="5"/>
        <v>O2025-01</v>
      </c>
      <c r="L88" s="5"/>
    </row>
    <row r="89" spans="2:12" x14ac:dyDescent="0.35">
      <c r="B89" s="5" t="s">
        <v>30</v>
      </c>
      <c r="C89" s="5" t="str">
        <f>VLOOKUP(B89,Tabela4[],2,FALSE)</f>
        <v>Pequena</v>
      </c>
      <c r="D89" s="12" t="str">
        <f>VLOOKUP(B89,Tabela4[],3,FALSE)</f>
        <v>Rio Grande do Sul</v>
      </c>
      <c r="E89" s="16" t="s">
        <v>67</v>
      </c>
      <c r="F89" s="13">
        <f>VLOOKUP($K89,'FATURAMENTO '!$B$2:$F$302,4,FALSE)</f>
        <v>9723</v>
      </c>
      <c r="G89" s="13">
        <f>VLOOKUP($K89,'FATURAMENTO '!$B$2:$F$302,5,FALSE)</f>
        <v>4931.96</v>
      </c>
      <c r="H89" s="5" t="str">
        <f>VLOOKUP($K89,CHURN!$A$2:$E$302,4,FALSE)</f>
        <v>Ativo</v>
      </c>
      <c r="I89" s="11">
        <f t="shared" si="3"/>
        <v>0.49275326545304948</v>
      </c>
      <c r="J89" s="14" t="str">
        <f t="shared" si="4"/>
        <v>Baixo valor</v>
      </c>
      <c r="K89" t="str">
        <f t="shared" si="5"/>
        <v>O2025-02</v>
      </c>
      <c r="L89" s="5"/>
    </row>
    <row r="90" spans="2:12" x14ac:dyDescent="0.35">
      <c r="B90" s="5" t="s">
        <v>30</v>
      </c>
      <c r="C90" s="5" t="str">
        <f>VLOOKUP(B90,Tabela4[],2,FALSE)</f>
        <v>Pequena</v>
      </c>
      <c r="D90" s="12" t="str">
        <f>VLOOKUP(B90,Tabela4[],3,FALSE)</f>
        <v>Rio Grande do Sul</v>
      </c>
      <c r="E90" s="16" t="s">
        <v>88</v>
      </c>
      <c r="F90" s="13">
        <f>VLOOKUP($K90,'FATURAMENTO '!$B$2:$F$302,4,FALSE)</f>
        <v>8243</v>
      </c>
      <c r="G90" s="13">
        <f>VLOOKUP($K90,'FATURAMENTO '!$B$2:$F$302,5,FALSE)</f>
        <v>5472.34</v>
      </c>
      <c r="H90" s="5" t="str">
        <f>VLOOKUP($K90,CHURN!$A$2:$E$302,4,FALSE)</f>
        <v>Ativo</v>
      </c>
      <c r="I90" s="11">
        <f t="shared" si="3"/>
        <v>0.33612277083586073</v>
      </c>
      <c r="J90" s="14" t="str">
        <f t="shared" si="4"/>
        <v>Baixo valor</v>
      </c>
      <c r="K90" t="str">
        <f t="shared" si="5"/>
        <v>O2025-03</v>
      </c>
      <c r="L90" s="5"/>
    </row>
    <row r="91" spans="2:12" x14ac:dyDescent="0.35">
      <c r="B91" s="5" t="s">
        <v>30</v>
      </c>
      <c r="C91" s="5" t="str">
        <f>VLOOKUP(B91,Tabela4[],2,FALSE)</f>
        <v>Pequena</v>
      </c>
      <c r="D91" s="12" t="str">
        <f>VLOOKUP(B91,Tabela4[],3,FALSE)</f>
        <v>Rio Grande do Sul</v>
      </c>
      <c r="E91" s="16" t="s">
        <v>68</v>
      </c>
      <c r="F91" s="13">
        <f>VLOOKUP($K91,'FATURAMENTO '!$B$2:$F$302,4,FALSE)</f>
        <v>45403</v>
      </c>
      <c r="G91" s="13">
        <f>VLOOKUP($K91,'FATURAMENTO '!$B$2:$F$302,5,FALSE)</f>
        <v>35689.410000000003</v>
      </c>
      <c r="H91" s="5" t="str">
        <f>VLOOKUP($K91,CHURN!$A$2:$E$302,4,FALSE)</f>
        <v>Ativo</v>
      </c>
      <c r="I91" s="11">
        <f t="shared" si="3"/>
        <v>0.21394158976279093</v>
      </c>
      <c r="J91" s="14" t="str">
        <f t="shared" si="4"/>
        <v>Baixo valor</v>
      </c>
      <c r="K91" t="str">
        <f t="shared" si="5"/>
        <v>O2025-04</v>
      </c>
      <c r="L91" s="5"/>
    </row>
    <row r="92" spans="2:12" x14ac:dyDescent="0.35">
      <c r="B92" s="5" t="s">
        <v>30</v>
      </c>
      <c r="C92" s="5" t="str">
        <f>VLOOKUP(B92,Tabela4[],2,FALSE)</f>
        <v>Pequena</v>
      </c>
      <c r="D92" s="12" t="str">
        <f>VLOOKUP(B92,Tabela4[],3,FALSE)</f>
        <v>Rio Grande do Sul</v>
      </c>
      <c r="E92" s="16" t="s">
        <v>69</v>
      </c>
      <c r="F92" s="13">
        <f>VLOOKUP($K92,'FATURAMENTO '!$B$2:$F$302,4,FALSE)</f>
        <v>40794</v>
      </c>
      <c r="G92" s="13">
        <f>VLOOKUP($K92,'FATURAMENTO '!$B$2:$F$302,5,FALSE)</f>
        <v>25915.31</v>
      </c>
      <c r="H92" s="5" t="str">
        <f>VLOOKUP($K92,CHURN!$A$2:$E$302,4,FALSE)</f>
        <v>Ativo</v>
      </c>
      <c r="I92" s="11">
        <f t="shared" si="3"/>
        <v>0.36472741089375887</v>
      </c>
      <c r="J92" s="14" t="str">
        <f t="shared" si="4"/>
        <v>Baixo valor</v>
      </c>
      <c r="K92" t="str">
        <f t="shared" si="5"/>
        <v>O2025-05</v>
      </c>
      <c r="L92" s="5"/>
    </row>
    <row r="93" spans="2:12" x14ac:dyDescent="0.35">
      <c r="B93" s="5" t="s">
        <v>31</v>
      </c>
      <c r="C93" s="5" t="str">
        <f>VLOOKUP(B93,Tabela4[],2,FALSE)</f>
        <v>Pequena</v>
      </c>
      <c r="D93" s="12" t="str">
        <f>VLOOKUP(B93,Tabela4[],3,FALSE)</f>
        <v>Paraná</v>
      </c>
      <c r="E93" s="16" t="s">
        <v>6</v>
      </c>
      <c r="F93" s="13">
        <f>VLOOKUP($K93,'FATURAMENTO '!$B$2:$F$302,4,FALSE)</f>
        <v>26265</v>
      </c>
      <c r="G93" s="13">
        <f>VLOOKUP($K93,'FATURAMENTO '!$B$2:$F$302,5,FALSE)</f>
        <v>17618.830000000002</v>
      </c>
      <c r="H93" s="5" t="str">
        <f>VLOOKUP($K93,CHURN!$A$2:$E$302,4,FALSE)</f>
        <v>Ativo</v>
      </c>
      <c r="I93" s="11">
        <f t="shared" si="3"/>
        <v>0.32918979630687217</v>
      </c>
      <c r="J93" s="14" t="str">
        <f t="shared" si="4"/>
        <v>Médio valor</v>
      </c>
      <c r="K93" t="str">
        <f t="shared" si="5"/>
        <v>P2024-12</v>
      </c>
      <c r="L93" s="5"/>
    </row>
    <row r="94" spans="2:12" x14ac:dyDescent="0.35">
      <c r="B94" s="5" t="s">
        <v>31</v>
      </c>
      <c r="C94" s="5" t="str">
        <f>VLOOKUP(B94,Tabela4[],2,FALSE)</f>
        <v>Pequena</v>
      </c>
      <c r="D94" s="12" t="str">
        <f>VLOOKUP(B94,Tabela4[],3,FALSE)</f>
        <v>Paraná</v>
      </c>
      <c r="E94" s="16" t="s">
        <v>66</v>
      </c>
      <c r="F94" s="13">
        <f>VLOOKUP($K94,'FATURAMENTO '!$B$2:$F$302,4,FALSE)</f>
        <v>34662</v>
      </c>
      <c r="G94" s="13">
        <f>VLOOKUP($K94,'FATURAMENTO '!$B$2:$F$302,5,FALSE)</f>
        <v>22451.99</v>
      </c>
      <c r="H94" s="5" t="str">
        <f>VLOOKUP($K94,CHURN!$A$2:$E$302,4,FALSE)</f>
        <v>Ativo</v>
      </c>
      <c r="I94" s="11">
        <f t="shared" si="3"/>
        <v>0.35225924643702033</v>
      </c>
      <c r="J94" s="14" t="str">
        <f t="shared" si="4"/>
        <v>Médio valor</v>
      </c>
      <c r="K94" t="str">
        <f t="shared" si="5"/>
        <v>P2025-01</v>
      </c>
      <c r="L94" s="5"/>
    </row>
    <row r="95" spans="2:12" x14ac:dyDescent="0.35">
      <c r="B95" s="5" t="s">
        <v>31</v>
      </c>
      <c r="C95" s="5" t="str">
        <f>VLOOKUP(B95,Tabela4[],2,FALSE)</f>
        <v>Pequena</v>
      </c>
      <c r="D95" s="12" t="str">
        <f>VLOOKUP(B95,Tabela4[],3,FALSE)</f>
        <v>Paraná</v>
      </c>
      <c r="E95" s="16" t="s">
        <v>67</v>
      </c>
      <c r="F95" s="13">
        <f>VLOOKUP($K95,'FATURAMENTO '!$B$2:$F$302,4,FALSE)</f>
        <v>45834</v>
      </c>
      <c r="G95" s="13">
        <f>VLOOKUP($K95,'FATURAMENTO '!$B$2:$F$302,5,FALSE)</f>
        <v>25153.94</v>
      </c>
      <c r="H95" s="5" t="str">
        <f>VLOOKUP($K95,CHURN!$A$2:$E$302,4,FALSE)</f>
        <v>Ativo</v>
      </c>
      <c r="I95" s="11">
        <f t="shared" si="3"/>
        <v>0.45119474625823625</v>
      </c>
      <c r="J95" s="14" t="str">
        <f t="shared" si="4"/>
        <v>Médio valor</v>
      </c>
      <c r="K95" t="str">
        <f t="shared" si="5"/>
        <v>P2025-02</v>
      </c>
      <c r="L95" s="5"/>
    </row>
    <row r="96" spans="2:12" x14ac:dyDescent="0.35">
      <c r="B96" s="5" t="s">
        <v>31</v>
      </c>
      <c r="C96" s="5" t="str">
        <f>VLOOKUP(B96,Tabela4[],2,FALSE)</f>
        <v>Pequena</v>
      </c>
      <c r="D96" s="12" t="str">
        <f>VLOOKUP(B96,Tabela4[],3,FALSE)</f>
        <v>Paraná</v>
      </c>
      <c r="E96" s="16" t="s">
        <v>88</v>
      </c>
      <c r="F96" s="13">
        <f>VLOOKUP($K96,'FATURAMENTO '!$B$2:$F$302,4,FALSE)</f>
        <v>17384</v>
      </c>
      <c r="G96" s="13">
        <f>VLOOKUP($K96,'FATURAMENTO '!$B$2:$F$302,5,FALSE)</f>
        <v>12393.51</v>
      </c>
      <c r="H96" s="5" t="str">
        <f>VLOOKUP($K96,CHURN!$A$2:$E$302,4,FALSE)</f>
        <v>Cancelado</v>
      </c>
      <c r="I96" s="11">
        <f t="shared" si="3"/>
        <v>0.28707374597330876</v>
      </c>
      <c r="J96" s="14" t="str">
        <f t="shared" si="4"/>
        <v>Médio valor</v>
      </c>
      <c r="K96" t="str">
        <f t="shared" si="5"/>
        <v>P2025-03</v>
      </c>
      <c r="L96" s="5"/>
    </row>
    <row r="97" spans="2:12" x14ac:dyDescent="0.35">
      <c r="B97" s="5" t="s">
        <v>31</v>
      </c>
      <c r="C97" s="5" t="str">
        <f>VLOOKUP(B97,Tabela4[],2,FALSE)</f>
        <v>Pequena</v>
      </c>
      <c r="D97" s="12" t="str">
        <f>VLOOKUP(B97,Tabela4[],3,FALSE)</f>
        <v>Paraná</v>
      </c>
      <c r="E97" s="16" t="s">
        <v>68</v>
      </c>
      <c r="F97" s="13">
        <f>VLOOKUP($K97,'FATURAMENTO '!$B$2:$F$302,4,FALSE)</f>
        <v>5030</v>
      </c>
      <c r="G97" s="13">
        <f>VLOOKUP($K97,'FATURAMENTO '!$B$2:$F$302,5,FALSE)</f>
        <v>3869.63</v>
      </c>
      <c r="H97" s="5" t="str">
        <f>VLOOKUP($K97,CHURN!$A$2:$E$302,4,FALSE)</f>
        <v>Cancelado</v>
      </c>
      <c r="I97" s="11">
        <f t="shared" si="3"/>
        <v>0.23068986083499005</v>
      </c>
      <c r="J97" s="14" t="str">
        <f t="shared" si="4"/>
        <v>Médio valor</v>
      </c>
      <c r="K97" t="str">
        <f t="shared" si="5"/>
        <v>P2025-04</v>
      </c>
      <c r="L97" s="5"/>
    </row>
    <row r="98" spans="2:12" x14ac:dyDescent="0.35">
      <c r="B98" s="5" t="s">
        <v>31</v>
      </c>
      <c r="C98" s="5" t="str">
        <f>VLOOKUP(B98,Tabela4[],2,FALSE)</f>
        <v>Pequena</v>
      </c>
      <c r="D98" s="12" t="str">
        <f>VLOOKUP(B98,Tabela4[],3,FALSE)</f>
        <v>Paraná</v>
      </c>
      <c r="E98" s="16" t="s">
        <v>69</v>
      </c>
      <c r="F98" s="13">
        <f>VLOOKUP($K98,'FATURAMENTO '!$B$2:$F$302,4,FALSE)</f>
        <v>8067</v>
      </c>
      <c r="G98" s="13">
        <f>VLOOKUP($K98,'FATURAMENTO '!$B$2:$F$302,5,FALSE)</f>
        <v>4816.6000000000004</v>
      </c>
      <c r="H98" s="5" t="str">
        <f>VLOOKUP($K98,CHURN!$A$2:$E$302,4,FALSE)</f>
        <v>Ativo</v>
      </c>
      <c r="I98" s="11">
        <f t="shared" si="3"/>
        <v>0.40292549894632451</v>
      </c>
      <c r="J98" s="14" t="str">
        <f t="shared" si="4"/>
        <v>Médio valor</v>
      </c>
      <c r="K98" t="str">
        <f t="shared" si="5"/>
        <v>P2025-05</v>
      </c>
      <c r="L98" s="5"/>
    </row>
    <row r="99" spans="2:12" x14ac:dyDescent="0.35">
      <c r="B99" s="5" t="s">
        <v>32</v>
      </c>
      <c r="C99" s="5" t="str">
        <f>VLOOKUP(B99,Tabela4[],2,FALSE)</f>
        <v>Grande</v>
      </c>
      <c r="D99" s="12" t="str">
        <f>VLOOKUP(B99,Tabela4[],3,FALSE)</f>
        <v>Paraná</v>
      </c>
      <c r="E99" s="16" t="s">
        <v>6</v>
      </c>
      <c r="F99" s="13">
        <f>VLOOKUP($K99,'FATURAMENTO '!$B$2:$F$302,4,FALSE)</f>
        <v>20995</v>
      </c>
      <c r="G99" s="13">
        <f>VLOOKUP($K99,'FATURAMENTO '!$B$2:$F$302,5,FALSE)</f>
        <v>10771.82</v>
      </c>
      <c r="H99" s="5" t="str">
        <f>VLOOKUP($K99,CHURN!$A$2:$E$302,4,FALSE)</f>
        <v>Ativo</v>
      </c>
      <c r="I99" s="11">
        <f t="shared" si="3"/>
        <v>0.48693403191236012</v>
      </c>
      <c r="J99" s="14" t="str">
        <f t="shared" si="4"/>
        <v>Médio valor</v>
      </c>
      <c r="K99" t="str">
        <f t="shared" si="5"/>
        <v>Q2024-12</v>
      </c>
      <c r="L99" s="5"/>
    </row>
    <row r="100" spans="2:12" x14ac:dyDescent="0.35">
      <c r="B100" s="5" t="s">
        <v>32</v>
      </c>
      <c r="C100" s="5" t="str">
        <f>VLOOKUP(B100,Tabela4[],2,FALSE)</f>
        <v>Grande</v>
      </c>
      <c r="D100" s="12" t="str">
        <f>VLOOKUP(B100,Tabela4[],3,FALSE)</f>
        <v>Paraná</v>
      </c>
      <c r="E100" s="16" t="s">
        <v>66</v>
      </c>
      <c r="F100" s="13">
        <f>VLOOKUP($K100,'FATURAMENTO '!$B$2:$F$302,4,FALSE)</f>
        <v>20013</v>
      </c>
      <c r="G100" s="13">
        <f>VLOOKUP($K100,'FATURAMENTO '!$B$2:$F$302,5,FALSE)</f>
        <v>10287.68</v>
      </c>
      <c r="H100" s="5" t="str">
        <f>VLOOKUP($K100,CHURN!$A$2:$E$302,4,FALSE)</f>
        <v>Ativo</v>
      </c>
      <c r="I100" s="11">
        <f t="shared" si="3"/>
        <v>0.48595013241393092</v>
      </c>
      <c r="J100" s="14" t="str">
        <f t="shared" si="4"/>
        <v>Médio valor</v>
      </c>
      <c r="K100" t="str">
        <f t="shared" si="5"/>
        <v>Q2025-01</v>
      </c>
      <c r="L100" s="5"/>
    </row>
    <row r="101" spans="2:12" x14ac:dyDescent="0.35">
      <c r="B101" s="5" t="s">
        <v>32</v>
      </c>
      <c r="C101" s="5" t="str">
        <f>VLOOKUP(B101,Tabela4[],2,FALSE)</f>
        <v>Grande</v>
      </c>
      <c r="D101" s="12" t="str">
        <f>VLOOKUP(B101,Tabela4[],3,FALSE)</f>
        <v>Paraná</v>
      </c>
      <c r="E101" s="16" t="s">
        <v>67</v>
      </c>
      <c r="F101" s="13">
        <f>VLOOKUP($K101,'FATURAMENTO '!$B$2:$F$302,4,FALSE)</f>
        <v>6886</v>
      </c>
      <c r="G101" s="13">
        <f>VLOOKUP($K101,'FATURAMENTO '!$B$2:$F$302,5,FALSE)</f>
        <v>4752.08</v>
      </c>
      <c r="H101" s="5" t="str">
        <f>VLOOKUP($K101,CHURN!$A$2:$E$302,4,FALSE)</f>
        <v>Ativo</v>
      </c>
      <c r="I101" s="11">
        <f t="shared" si="3"/>
        <v>0.30989253557943652</v>
      </c>
      <c r="J101" s="14" t="str">
        <f t="shared" si="4"/>
        <v>Médio valor</v>
      </c>
      <c r="K101" t="str">
        <f t="shared" si="5"/>
        <v>Q2025-02</v>
      </c>
      <c r="L101" s="5"/>
    </row>
    <row r="102" spans="2:12" x14ac:dyDescent="0.35">
      <c r="B102" s="5" t="s">
        <v>32</v>
      </c>
      <c r="C102" s="5" t="str">
        <f>VLOOKUP(B102,Tabela4[],2,FALSE)</f>
        <v>Grande</v>
      </c>
      <c r="D102" s="12" t="str">
        <f>VLOOKUP(B102,Tabela4[],3,FALSE)</f>
        <v>Paraná</v>
      </c>
      <c r="E102" s="16" t="s">
        <v>88</v>
      </c>
      <c r="F102" s="13">
        <f>VLOOKUP($K102,'FATURAMENTO '!$B$2:$F$302,4,FALSE)</f>
        <v>9075</v>
      </c>
      <c r="G102" s="13">
        <f>VLOOKUP($K102,'FATURAMENTO '!$B$2:$F$302,5,FALSE)</f>
        <v>5930.96</v>
      </c>
      <c r="H102" s="5" t="str">
        <f>VLOOKUP($K102,CHURN!$A$2:$E$302,4,FALSE)</f>
        <v>Ativo</v>
      </c>
      <c r="I102" s="11">
        <f t="shared" si="3"/>
        <v>0.34645068870523416</v>
      </c>
      <c r="J102" s="14" t="str">
        <f t="shared" si="4"/>
        <v>Médio valor</v>
      </c>
      <c r="K102" t="str">
        <f t="shared" si="5"/>
        <v>Q2025-03</v>
      </c>
      <c r="L102" s="5"/>
    </row>
    <row r="103" spans="2:12" x14ac:dyDescent="0.35">
      <c r="B103" s="5" t="s">
        <v>32</v>
      </c>
      <c r="C103" s="5" t="str">
        <f>VLOOKUP(B103,Tabela4[],2,FALSE)</f>
        <v>Grande</v>
      </c>
      <c r="D103" s="12" t="str">
        <f>VLOOKUP(B103,Tabela4[],3,FALSE)</f>
        <v>Paraná</v>
      </c>
      <c r="E103" s="16" t="s">
        <v>68</v>
      </c>
      <c r="F103" s="13">
        <f>VLOOKUP($K103,'FATURAMENTO '!$B$2:$F$302,4,FALSE)</f>
        <v>48175</v>
      </c>
      <c r="G103" s="13">
        <f>VLOOKUP($K103,'FATURAMENTO '!$B$2:$F$302,5,FALSE)</f>
        <v>29853.8</v>
      </c>
      <c r="H103" s="5" t="str">
        <f>VLOOKUP($K103,CHURN!$A$2:$E$302,4,FALSE)</f>
        <v>Ativo</v>
      </c>
      <c r="I103" s="11">
        <f t="shared" si="3"/>
        <v>0.38030513751946032</v>
      </c>
      <c r="J103" s="14" t="str">
        <f t="shared" si="4"/>
        <v>Médio valor</v>
      </c>
      <c r="K103" t="str">
        <f t="shared" si="5"/>
        <v>Q2025-04</v>
      </c>
      <c r="L103" s="5"/>
    </row>
    <row r="104" spans="2:12" x14ac:dyDescent="0.35">
      <c r="B104" s="5" t="s">
        <v>32</v>
      </c>
      <c r="C104" s="5" t="str">
        <f>VLOOKUP(B104,Tabela4[],2,FALSE)</f>
        <v>Grande</v>
      </c>
      <c r="D104" s="12" t="str">
        <f>VLOOKUP(B104,Tabela4[],3,FALSE)</f>
        <v>Paraná</v>
      </c>
      <c r="E104" s="16" t="s">
        <v>69</v>
      </c>
      <c r="F104" s="13">
        <f>VLOOKUP($K104,'FATURAMENTO '!$B$2:$F$302,4,FALSE)</f>
        <v>16414</v>
      </c>
      <c r="G104" s="13">
        <f>VLOOKUP($K104,'FATURAMENTO '!$B$2:$F$302,5,FALSE)</f>
        <v>9320.2800000000007</v>
      </c>
      <c r="H104" s="5" t="str">
        <f>VLOOKUP($K104,CHURN!$A$2:$E$302,4,FALSE)</f>
        <v>Ativo</v>
      </c>
      <c r="I104" s="11">
        <f t="shared" si="3"/>
        <v>0.43217497258437915</v>
      </c>
      <c r="J104" s="14" t="str">
        <f t="shared" si="4"/>
        <v>Médio valor</v>
      </c>
      <c r="K104" t="str">
        <f t="shared" si="5"/>
        <v>Q2025-05</v>
      </c>
      <c r="L104" s="5"/>
    </row>
    <row r="105" spans="2:12" x14ac:dyDescent="0.35">
      <c r="B105" s="5" t="s">
        <v>33</v>
      </c>
      <c r="C105" s="5" t="str">
        <f>VLOOKUP(B105,Tabela4[],2,FALSE)</f>
        <v>Grande</v>
      </c>
      <c r="D105" s="12" t="str">
        <f>VLOOKUP(B105,Tabela4[],3,FALSE)</f>
        <v>Pernambuco</v>
      </c>
      <c r="E105" s="16" t="s">
        <v>6</v>
      </c>
      <c r="F105" s="13">
        <f>VLOOKUP($K105,'FATURAMENTO '!$B$2:$F$302,4,FALSE)</f>
        <v>27340</v>
      </c>
      <c r="G105" s="13">
        <f>VLOOKUP($K105,'FATURAMENTO '!$B$2:$F$302,5,FALSE)</f>
        <v>20171.79</v>
      </c>
      <c r="H105" s="5" t="str">
        <f>VLOOKUP($K105,CHURN!$A$2:$E$302,4,FALSE)</f>
        <v>Ativo</v>
      </c>
      <c r="I105" s="11">
        <f t="shared" si="3"/>
        <v>0.26218763716166787</v>
      </c>
      <c r="J105" s="14" t="str">
        <f t="shared" si="4"/>
        <v>Baixo valor</v>
      </c>
      <c r="K105" t="str">
        <f t="shared" si="5"/>
        <v>R2024-12</v>
      </c>
      <c r="L105" s="5"/>
    </row>
    <row r="106" spans="2:12" x14ac:dyDescent="0.35">
      <c r="B106" s="5" t="s">
        <v>33</v>
      </c>
      <c r="C106" s="5" t="str">
        <f>VLOOKUP(B106,Tabela4[],2,FALSE)</f>
        <v>Grande</v>
      </c>
      <c r="D106" s="12" t="str">
        <f>VLOOKUP(B106,Tabela4[],3,FALSE)</f>
        <v>Pernambuco</v>
      </c>
      <c r="E106" s="16" t="s">
        <v>66</v>
      </c>
      <c r="F106" s="13">
        <f>VLOOKUP($K106,'FATURAMENTO '!$B$2:$F$302,4,FALSE)</f>
        <v>4440</v>
      </c>
      <c r="G106" s="13">
        <f>VLOOKUP($K106,'FATURAMENTO '!$B$2:$F$302,5,FALSE)</f>
        <v>2998.63</v>
      </c>
      <c r="H106" s="5" t="str">
        <f>VLOOKUP($K106,CHURN!$A$2:$E$302,4,FALSE)</f>
        <v>Ativo</v>
      </c>
      <c r="I106" s="11">
        <f t="shared" si="3"/>
        <v>0.32463288288288283</v>
      </c>
      <c r="J106" s="14" t="str">
        <f t="shared" si="4"/>
        <v>Baixo valor</v>
      </c>
      <c r="K106" t="str">
        <f t="shared" si="5"/>
        <v>R2025-01</v>
      </c>
      <c r="L106" s="5"/>
    </row>
    <row r="107" spans="2:12" x14ac:dyDescent="0.35">
      <c r="B107" s="5" t="s">
        <v>33</v>
      </c>
      <c r="C107" s="5" t="str">
        <f>VLOOKUP(B107,Tabela4[],2,FALSE)</f>
        <v>Grande</v>
      </c>
      <c r="D107" s="12" t="str">
        <f>VLOOKUP(B107,Tabela4[],3,FALSE)</f>
        <v>Pernambuco</v>
      </c>
      <c r="E107" s="16" t="s">
        <v>67</v>
      </c>
      <c r="F107" s="13">
        <f>VLOOKUP($K107,'FATURAMENTO '!$B$2:$F$302,4,FALSE)</f>
        <v>19562</v>
      </c>
      <c r="G107" s="13">
        <f>VLOOKUP($K107,'FATURAMENTO '!$B$2:$F$302,5,FALSE)</f>
        <v>13386.39</v>
      </c>
      <c r="H107" s="5" t="str">
        <f>VLOOKUP($K107,CHURN!$A$2:$E$302,4,FALSE)</f>
        <v>Ativo</v>
      </c>
      <c r="I107" s="11">
        <f t="shared" si="3"/>
        <v>0.31569420304672324</v>
      </c>
      <c r="J107" s="14" t="str">
        <f t="shared" si="4"/>
        <v>Baixo valor</v>
      </c>
      <c r="K107" t="str">
        <f t="shared" si="5"/>
        <v>R2025-02</v>
      </c>
      <c r="L107" s="5"/>
    </row>
    <row r="108" spans="2:12" x14ac:dyDescent="0.35">
      <c r="B108" s="5" t="s">
        <v>33</v>
      </c>
      <c r="C108" s="5" t="str">
        <f>VLOOKUP(B108,Tabela4[],2,FALSE)</f>
        <v>Grande</v>
      </c>
      <c r="D108" s="12" t="str">
        <f>VLOOKUP(B108,Tabela4[],3,FALSE)</f>
        <v>Pernambuco</v>
      </c>
      <c r="E108" s="16" t="s">
        <v>88</v>
      </c>
      <c r="F108" s="13">
        <f>VLOOKUP($K108,'FATURAMENTO '!$B$2:$F$302,4,FALSE)</f>
        <v>28803</v>
      </c>
      <c r="G108" s="13">
        <f>VLOOKUP($K108,'FATURAMENTO '!$B$2:$F$302,5,FALSE)</f>
        <v>19236.2</v>
      </c>
      <c r="H108" s="5" t="str">
        <f>VLOOKUP($K108,CHURN!$A$2:$E$302,4,FALSE)</f>
        <v>Cancelado</v>
      </c>
      <c r="I108" s="11">
        <f t="shared" si="3"/>
        <v>0.33214595701836613</v>
      </c>
      <c r="J108" s="14" t="str">
        <f t="shared" si="4"/>
        <v>Baixo valor</v>
      </c>
      <c r="K108" t="str">
        <f t="shared" si="5"/>
        <v>R2025-03</v>
      </c>
      <c r="L108" s="5"/>
    </row>
    <row r="109" spans="2:12" x14ac:dyDescent="0.35">
      <c r="B109" s="5" t="s">
        <v>33</v>
      </c>
      <c r="C109" s="5" t="str">
        <f>VLOOKUP(B109,Tabela4[],2,FALSE)</f>
        <v>Grande</v>
      </c>
      <c r="D109" s="12" t="str">
        <f>VLOOKUP(B109,Tabela4[],3,FALSE)</f>
        <v>Pernambuco</v>
      </c>
      <c r="E109" s="16" t="s">
        <v>68</v>
      </c>
      <c r="F109" s="13">
        <f>VLOOKUP($K109,'FATURAMENTO '!$B$2:$F$302,4,FALSE)</f>
        <v>4109</v>
      </c>
      <c r="G109" s="13">
        <f>VLOOKUP($K109,'FATURAMENTO '!$B$2:$F$302,5,FALSE)</f>
        <v>2744.43</v>
      </c>
      <c r="H109" s="5" t="str">
        <f>VLOOKUP($K109,CHURN!$A$2:$E$302,4,FALSE)</f>
        <v>Ativo</v>
      </c>
      <c r="I109" s="11">
        <f t="shared" si="3"/>
        <v>0.33209296665855442</v>
      </c>
      <c r="J109" s="14" t="str">
        <f t="shared" si="4"/>
        <v>Baixo valor</v>
      </c>
      <c r="K109" t="str">
        <f t="shared" si="5"/>
        <v>R2025-04</v>
      </c>
      <c r="L109" s="5"/>
    </row>
    <row r="110" spans="2:12" x14ac:dyDescent="0.35">
      <c r="B110" s="5" t="s">
        <v>33</v>
      </c>
      <c r="C110" s="5" t="str">
        <f>VLOOKUP(B110,Tabela4[],2,FALSE)</f>
        <v>Grande</v>
      </c>
      <c r="D110" s="12" t="str">
        <f>VLOOKUP(B110,Tabela4[],3,FALSE)</f>
        <v>Pernambuco</v>
      </c>
      <c r="E110" s="16" t="s">
        <v>69</v>
      </c>
      <c r="F110" s="13">
        <f>VLOOKUP($K110,'FATURAMENTO '!$B$2:$F$302,4,FALSE)</f>
        <v>31357</v>
      </c>
      <c r="G110" s="13">
        <f>VLOOKUP($K110,'FATURAMENTO '!$B$2:$F$302,5,FALSE)</f>
        <v>16100.28</v>
      </c>
      <c r="H110" s="5" t="str">
        <f>VLOOKUP($K110,CHURN!$A$2:$E$302,4,FALSE)</f>
        <v>Ativo</v>
      </c>
      <c r="I110" s="11">
        <f t="shared" si="3"/>
        <v>0.48654909589565326</v>
      </c>
      <c r="J110" s="14" t="str">
        <f t="shared" si="4"/>
        <v>Baixo valor</v>
      </c>
      <c r="K110" t="str">
        <f t="shared" si="5"/>
        <v>R2025-05</v>
      </c>
      <c r="L110" s="5"/>
    </row>
    <row r="111" spans="2:12" x14ac:dyDescent="0.35">
      <c r="B111" s="5" t="s">
        <v>34</v>
      </c>
      <c r="C111" s="5" t="str">
        <f>VLOOKUP(B111,Tabela4[],2,FALSE)</f>
        <v>Pequena</v>
      </c>
      <c r="D111" s="12" t="str">
        <f>VLOOKUP(B111,Tabela4[],3,FALSE)</f>
        <v>Ceará</v>
      </c>
      <c r="E111" s="16" t="s">
        <v>6</v>
      </c>
      <c r="F111" s="13">
        <f>VLOOKUP($K111,'FATURAMENTO '!$B$2:$F$302,4,FALSE)</f>
        <v>41566</v>
      </c>
      <c r="G111" s="13">
        <f>VLOOKUP($K111,'FATURAMENTO '!$B$2:$F$302,5,FALSE)</f>
        <v>32942.39</v>
      </c>
      <c r="H111" s="5" t="str">
        <f>VLOOKUP($K111,CHURN!$A$2:$E$302,4,FALSE)</f>
        <v>Cancelado</v>
      </c>
      <c r="I111" s="11">
        <f t="shared" si="3"/>
        <v>0.2074678824038878</v>
      </c>
      <c r="J111" s="14" t="str">
        <f t="shared" si="4"/>
        <v>Baixo valor</v>
      </c>
      <c r="K111" t="str">
        <f t="shared" si="5"/>
        <v>S2024-12</v>
      </c>
      <c r="L111" s="5"/>
    </row>
    <row r="112" spans="2:12" x14ac:dyDescent="0.35">
      <c r="B112" s="5" t="s">
        <v>34</v>
      </c>
      <c r="C112" s="5" t="str">
        <f>VLOOKUP(B112,Tabela4[],2,FALSE)</f>
        <v>Pequena</v>
      </c>
      <c r="D112" s="12" t="str">
        <f>VLOOKUP(B112,Tabela4[],3,FALSE)</f>
        <v>Ceará</v>
      </c>
      <c r="E112" s="16" t="s">
        <v>66</v>
      </c>
      <c r="F112" s="13">
        <f>VLOOKUP($K112,'FATURAMENTO '!$B$2:$F$302,4,FALSE)</f>
        <v>28545</v>
      </c>
      <c r="G112" s="13">
        <f>VLOOKUP($K112,'FATURAMENTO '!$B$2:$F$302,5,FALSE)</f>
        <v>16020.18</v>
      </c>
      <c r="H112" s="5" t="str">
        <f>VLOOKUP($K112,CHURN!$A$2:$E$302,4,FALSE)</f>
        <v>Cancelado</v>
      </c>
      <c r="I112" s="11">
        <f t="shared" si="3"/>
        <v>0.43877456647398844</v>
      </c>
      <c r="J112" s="14" t="str">
        <f t="shared" si="4"/>
        <v>Baixo valor</v>
      </c>
      <c r="K112" t="str">
        <f t="shared" si="5"/>
        <v>S2025-01</v>
      </c>
      <c r="L112" s="5"/>
    </row>
    <row r="113" spans="2:12" x14ac:dyDescent="0.35">
      <c r="B113" s="5" t="s">
        <v>34</v>
      </c>
      <c r="C113" s="5" t="str">
        <f>VLOOKUP(B113,Tabela4[],2,FALSE)</f>
        <v>Pequena</v>
      </c>
      <c r="D113" s="12" t="str">
        <f>VLOOKUP(B113,Tabela4[],3,FALSE)</f>
        <v>Ceará</v>
      </c>
      <c r="E113" s="16" t="s">
        <v>67</v>
      </c>
      <c r="F113" s="13">
        <f>VLOOKUP($K113,'FATURAMENTO '!$B$2:$F$302,4,FALSE)</f>
        <v>41648</v>
      </c>
      <c r="G113" s="13">
        <f>VLOOKUP($K113,'FATURAMENTO '!$B$2:$F$302,5,FALSE)</f>
        <v>29490.26</v>
      </c>
      <c r="H113" s="5" t="str">
        <f>VLOOKUP($K113,CHURN!$A$2:$E$302,4,FALSE)</f>
        <v>Ativo</v>
      </c>
      <c r="I113" s="11">
        <f t="shared" si="3"/>
        <v>0.291916538609297</v>
      </c>
      <c r="J113" s="14" t="str">
        <f t="shared" si="4"/>
        <v>Baixo valor</v>
      </c>
      <c r="K113" t="str">
        <f t="shared" si="5"/>
        <v>S2025-02</v>
      </c>
      <c r="L113" s="5"/>
    </row>
    <row r="114" spans="2:12" x14ac:dyDescent="0.35">
      <c r="B114" s="5" t="s">
        <v>34</v>
      </c>
      <c r="C114" s="5" t="str">
        <f>VLOOKUP(B114,Tabela4[],2,FALSE)</f>
        <v>Pequena</v>
      </c>
      <c r="D114" s="12" t="str">
        <f>VLOOKUP(B114,Tabela4[],3,FALSE)</f>
        <v>Ceará</v>
      </c>
      <c r="E114" s="16" t="s">
        <v>88</v>
      </c>
      <c r="F114" s="13">
        <f>VLOOKUP($K114,'FATURAMENTO '!$B$2:$F$302,4,FALSE)</f>
        <v>32796</v>
      </c>
      <c r="G114" s="13">
        <f>VLOOKUP($K114,'FATURAMENTO '!$B$2:$F$302,5,FALSE)</f>
        <v>18084.97</v>
      </c>
      <c r="H114" s="5" t="str">
        <f>VLOOKUP($K114,CHURN!$A$2:$E$302,4,FALSE)</f>
        <v>Ativo</v>
      </c>
      <c r="I114" s="11">
        <f t="shared" si="3"/>
        <v>0.44856171484327351</v>
      </c>
      <c r="J114" s="14" t="str">
        <f t="shared" si="4"/>
        <v>Baixo valor</v>
      </c>
      <c r="K114" t="str">
        <f t="shared" si="5"/>
        <v>S2025-03</v>
      </c>
      <c r="L114" s="5"/>
    </row>
    <row r="115" spans="2:12" x14ac:dyDescent="0.35">
      <c r="B115" s="5" t="s">
        <v>34</v>
      </c>
      <c r="C115" s="5" t="str">
        <f>VLOOKUP(B115,Tabela4[],2,FALSE)</f>
        <v>Pequena</v>
      </c>
      <c r="D115" s="12" t="str">
        <f>VLOOKUP(B115,Tabela4[],3,FALSE)</f>
        <v>Ceará</v>
      </c>
      <c r="E115" s="16" t="s">
        <v>68</v>
      </c>
      <c r="F115" s="13">
        <f>VLOOKUP($K115,'FATURAMENTO '!$B$2:$F$302,4,FALSE)</f>
        <v>34248</v>
      </c>
      <c r="G115" s="13">
        <f>VLOOKUP($K115,'FATURAMENTO '!$B$2:$F$302,5,FALSE)</f>
        <v>24271.84</v>
      </c>
      <c r="H115" s="5" t="str">
        <f>VLOOKUP($K115,CHURN!$A$2:$E$302,4,FALSE)</f>
        <v>Ativo</v>
      </c>
      <c r="I115" s="11">
        <f t="shared" si="3"/>
        <v>0.29129175426302267</v>
      </c>
      <c r="J115" s="14" t="str">
        <f t="shared" si="4"/>
        <v>Baixo valor</v>
      </c>
      <c r="K115" t="str">
        <f t="shared" si="5"/>
        <v>S2025-04</v>
      </c>
      <c r="L115" s="5"/>
    </row>
    <row r="116" spans="2:12" x14ac:dyDescent="0.35">
      <c r="B116" s="5" t="s">
        <v>34</v>
      </c>
      <c r="C116" s="5" t="str">
        <f>VLOOKUP(B116,Tabela4[],2,FALSE)</f>
        <v>Pequena</v>
      </c>
      <c r="D116" s="12" t="str">
        <f>VLOOKUP(B116,Tabela4[],3,FALSE)</f>
        <v>Ceará</v>
      </c>
      <c r="E116" s="16" t="s">
        <v>69</v>
      </c>
      <c r="F116" s="13">
        <f>VLOOKUP($K116,'FATURAMENTO '!$B$2:$F$302,4,FALSE)</f>
        <v>44925</v>
      </c>
      <c r="G116" s="13">
        <f>VLOOKUP($K116,'FATURAMENTO '!$B$2:$F$302,5,FALSE)</f>
        <v>29388.29</v>
      </c>
      <c r="H116" s="5" t="str">
        <f>VLOOKUP($K116,CHURN!$A$2:$E$302,4,FALSE)</f>
        <v>Ativo</v>
      </c>
      <c r="I116" s="11">
        <f t="shared" si="3"/>
        <v>0.3458366165831942</v>
      </c>
      <c r="J116" s="14" t="str">
        <f t="shared" si="4"/>
        <v>Baixo valor</v>
      </c>
      <c r="K116" t="str">
        <f t="shared" si="5"/>
        <v>S2025-05</v>
      </c>
      <c r="L116" s="5"/>
    </row>
    <row r="117" spans="2:12" x14ac:dyDescent="0.35">
      <c r="B117" s="5" t="s">
        <v>35</v>
      </c>
      <c r="C117" s="5" t="str">
        <f>VLOOKUP(B117,Tabela4[],2,FALSE)</f>
        <v>Média</v>
      </c>
      <c r="D117" s="12" t="str">
        <f>VLOOKUP(B117,Tabela4[],3,FALSE)</f>
        <v>Rio Grande do Sul</v>
      </c>
      <c r="E117" s="16" t="s">
        <v>6</v>
      </c>
      <c r="F117" s="13">
        <f>VLOOKUP($K117,'FATURAMENTO '!$B$2:$F$302,4,FALSE)</f>
        <v>48541</v>
      </c>
      <c r="G117" s="13">
        <f>VLOOKUP($K117,'FATURAMENTO '!$B$2:$F$302,5,FALSE)</f>
        <v>36120.78</v>
      </c>
      <c r="H117" s="5" t="str">
        <f>VLOOKUP($K117,CHURN!$A$2:$E$302,4,FALSE)</f>
        <v>Cancelado</v>
      </c>
      <c r="I117" s="11">
        <f t="shared" si="3"/>
        <v>0.25587070723718097</v>
      </c>
      <c r="J117" s="14" t="str">
        <f t="shared" si="4"/>
        <v>Baixo valor</v>
      </c>
      <c r="K117" t="str">
        <f t="shared" si="5"/>
        <v>T2024-12</v>
      </c>
      <c r="L117" s="5"/>
    </row>
    <row r="118" spans="2:12" x14ac:dyDescent="0.35">
      <c r="B118" s="5" t="s">
        <v>35</v>
      </c>
      <c r="C118" s="5" t="str">
        <f>VLOOKUP(B118,Tabela4[],2,FALSE)</f>
        <v>Média</v>
      </c>
      <c r="D118" s="12" t="str">
        <f>VLOOKUP(B118,Tabela4[],3,FALSE)</f>
        <v>Rio Grande do Sul</v>
      </c>
      <c r="E118" s="16" t="s">
        <v>66</v>
      </c>
      <c r="F118" s="13">
        <f>VLOOKUP($K118,'FATURAMENTO '!$B$2:$F$302,4,FALSE)</f>
        <v>35551</v>
      </c>
      <c r="G118" s="13">
        <f>VLOOKUP($K118,'FATURAMENTO '!$B$2:$F$302,5,FALSE)</f>
        <v>17828.689999999999</v>
      </c>
      <c r="H118" s="5" t="str">
        <f>VLOOKUP($K118,CHURN!$A$2:$E$302,4,FALSE)</f>
        <v>Ativo</v>
      </c>
      <c r="I118" s="11">
        <f t="shared" si="3"/>
        <v>0.49850383955444294</v>
      </c>
      <c r="J118" s="14" t="str">
        <f t="shared" si="4"/>
        <v>Baixo valor</v>
      </c>
      <c r="K118" t="str">
        <f t="shared" si="5"/>
        <v>T2025-01</v>
      </c>
      <c r="L118" s="5"/>
    </row>
    <row r="119" spans="2:12" x14ac:dyDescent="0.35">
      <c r="B119" s="5" t="s">
        <v>35</v>
      </c>
      <c r="C119" s="5" t="str">
        <f>VLOOKUP(B119,Tabela4[],2,FALSE)</f>
        <v>Média</v>
      </c>
      <c r="D119" s="12" t="str">
        <f>VLOOKUP(B119,Tabela4[],3,FALSE)</f>
        <v>Rio Grande do Sul</v>
      </c>
      <c r="E119" s="16" t="s">
        <v>67</v>
      </c>
      <c r="F119" s="13">
        <f>VLOOKUP($K119,'FATURAMENTO '!$B$2:$F$302,4,FALSE)</f>
        <v>17876</v>
      </c>
      <c r="G119" s="13">
        <f>VLOOKUP($K119,'FATURAMENTO '!$B$2:$F$302,5,FALSE)</f>
        <v>9630.52</v>
      </c>
      <c r="H119" s="5" t="str">
        <f>VLOOKUP($K119,CHURN!$A$2:$E$302,4,FALSE)</f>
        <v>Ativo</v>
      </c>
      <c r="I119" s="11">
        <f t="shared" si="3"/>
        <v>0.46125978966211678</v>
      </c>
      <c r="J119" s="14" t="str">
        <f t="shared" si="4"/>
        <v>Baixo valor</v>
      </c>
      <c r="K119" t="str">
        <f t="shared" si="5"/>
        <v>T2025-02</v>
      </c>
      <c r="L119" s="5"/>
    </row>
    <row r="120" spans="2:12" x14ac:dyDescent="0.35">
      <c r="B120" s="5" t="s">
        <v>35</v>
      </c>
      <c r="C120" s="5" t="str">
        <f>VLOOKUP(B120,Tabela4[],2,FALSE)</f>
        <v>Média</v>
      </c>
      <c r="D120" s="12" t="str">
        <f>VLOOKUP(B120,Tabela4[],3,FALSE)</f>
        <v>Rio Grande do Sul</v>
      </c>
      <c r="E120" s="16" t="s">
        <v>88</v>
      </c>
      <c r="F120" s="13">
        <f>VLOOKUP($K120,'FATURAMENTO '!$B$2:$F$302,4,FALSE)</f>
        <v>47298</v>
      </c>
      <c r="G120" s="13">
        <f>VLOOKUP($K120,'FATURAMENTO '!$B$2:$F$302,5,FALSE)</f>
        <v>33202.06</v>
      </c>
      <c r="H120" s="5" t="str">
        <f>VLOOKUP($K120,CHURN!$A$2:$E$302,4,FALSE)</f>
        <v>Cancelado</v>
      </c>
      <c r="I120" s="11">
        <f t="shared" si="3"/>
        <v>0.29802401792887656</v>
      </c>
      <c r="J120" s="14" t="str">
        <f t="shared" si="4"/>
        <v>Baixo valor</v>
      </c>
      <c r="K120" t="str">
        <f t="shared" si="5"/>
        <v>T2025-03</v>
      </c>
      <c r="L120" s="5"/>
    </row>
    <row r="121" spans="2:12" x14ac:dyDescent="0.35">
      <c r="B121" s="5" t="s">
        <v>35</v>
      </c>
      <c r="C121" s="5" t="str">
        <f>VLOOKUP(B121,Tabela4[],2,FALSE)</f>
        <v>Média</v>
      </c>
      <c r="D121" s="12" t="str">
        <f>VLOOKUP(B121,Tabela4[],3,FALSE)</f>
        <v>Rio Grande do Sul</v>
      </c>
      <c r="E121" s="16" t="s">
        <v>68</v>
      </c>
      <c r="F121" s="13">
        <f>VLOOKUP($K121,'FATURAMENTO '!$B$2:$F$302,4,FALSE)</f>
        <v>35483</v>
      </c>
      <c r="G121" s="13">
        <f>VLOOKUP($K121,'FATURAMENTO '!$B$2:$F$302,5,FALSE)</f>
        <v>21822.63</v>
      </c>
      <c r="H121" s="5" t="str">
        <f>VLOOKUP($K121,CHURN!$A$2:$E$302,4,FALSE)</f>
        <v>Ativo</v>
      </c>
      <c r="I121" s="11">
        <f t="shared" si="3"/>
        <v>0.38498351323168839</v>
      </c>
      <c r="J121" s="14" t="str">
        <f t="shared" si="4"/>
        <v>Baixo valor</v>
      </c>
      <c r="K121" t="str">
        <f t="shared" si="5"/>
        <v>T2025-04</v>
      </c>
      <c r="L121" s="5"/>
    </row>
    <row r="122" spans="2:12" x14ac:dyDescent="0.35">
      <c r="B122" s="5" t="s">
        <v>35</v>
      </c>
      <c r="C122" s="5" t="str">
        <f>VLOOKUP(B122,Tabela4[],2,FALSE)</f>
        <v>Média</v>
      </c>
      <c r="D122" s="12" t="str">
        <f>VLOOKUP(B122,Tabela4[],3,FALSE)</f>
        <v>Rio Grande do Sul</v>
      </c>
      <c r="E122" s="16" t="s">
        <v>69</v>
      </c>
      <c r="F122" s="13">
        <f>VLOOKUP($K122,'FATURAMENTO '!$B$2:$F$302,4,FALSE)</f>
        <v>45775</v>
      </c>
      <c r="G122" s="13">
        <f>VLOOKUP($K122,'FATURAMENTO '!$B$2:$F$302,5,FALSE)</f>
        <v>24058.34</v>
      </c>
      <c r="H122" s="5" t="str">
        <f>VLOOKUP($K122,CHURN!$A$2:$E$302,4,FALSE)</f>
        <v>Ativo</v>
      </c>
      <c r="I122" s="11">
        <f t="shared" si="3"/>
        <v>0.47442184598580012</v>
      </c>
      <c r="J122" s="14" t="str">
        <f t="shared" si="4"/>
        <v>Baixo valor</v>
      </c>
      <c r="K122" t="str">
        <f t="shared" si="5"/>
        <v>T2025-05</v>
      </c>
      <c r="L122" s="5"/>
    </row>
    <row r="123" spans="2:12" x14ac:dyDescent="0.35">
      <c r="B123" s="5" t="s">
        <v>36</v>
      </c>
      <c r="C123" s="5" t="str">
        <f>VLOOKUP(B123,Tabela4[],2,FALSE)</f>
        <v>Média</v>
      </c>
      <c r="D123" s="12" t="str">
        <f>VLOOKUP(B123,Tabela4[],3,FALSE)</f>
        <v>Rio Grande do Sul</v>
      </c>
      <c r="E123" s="16" t="s">
        <v>6</v>
      </c>
      <c r="F123" s="13">
        <f>VLOOKUP($K123,'FATURAMENTO '!$B$2:$F$302,4,FALSE)</f>
        <v>41749</v>
      </c>
      <c r="G123" s="13">
        <f>VLOOKUP($K123,'FATURAMENTO '!$B$2:$F$302,5,FALSE)</f>
        <v>22746.78</v>
      </c>
      <c r="H123" s="5" t="str">
        <f>VLOOKUP($K123,CHURN!$A$2:$E$302,4,FALSE)</f>
        <v>Ativo</v>
      </c>
      <c r="I123" s="11">
        <f t="shared" si="3"/>
        <v>0.45515389590169825</v>
      </c>
      <c r="J123" s="14" t="str">
        <f t="shared" si="4"/>
        <v>Médio valor</v>
      </c>
      <c r="K123" t="str">
        <f t="shared" si="5"/>
        <v>U2024-12</v>
      </c>
      <c r="L123" s="5"/>
    </row>
    <row r="124" spans="2:12" x14ac:dyDescent="0.35">
      <c r="B124" s="5" t="s">
        <v>36</v>
      </c>
      <c r="C124" s="5" t="str">
        <f>VLOOKUP(B124,Tabela4[],2,FALSE)</f>
        <v>Média</v>
      </c>
      <c r="D124" s="12" t="str">
        <f>VLOOKUP(B124,Tabela4[],3,FALSE)</f>
        <v>Rio Grande do Sul</v>
      </c>
      <c r="E124" s="16" t="s">
        <v>66</v>
      </c>
      <c r="F124" s="13">
        <f>VLOOKUP($K124,'FATURAMENTO '!$B$2:$F$302,4,FALSE)</f>
        <v>47188</v>
      </c>
      <c r="G124" s="13">
        <f>VLOOKUP($K124,'FATURAMENTO '!$B$2:$F$302,5,FALSE)</f>
        <v>26456.58</v>
      </c>
      <c r="H124" s="5" t="str">
        <f>VLOOKUP($K124,CHURN!$A$2:$E$302,4,FALSE)</f>
        <v>Ativo</v>
      </c>
      <c r="I124" s="11">
        <f t="shared" si="3"/>
        <v>0.43933669577011103</v>
      </c>
      <c r="J124" s="14" t="str">
        <f t="shared" si="4"/>
        <v>Médio valor</v>
      </c>
      <c r="K124" t="str">
        <f t="shared" si="5"/>
        <v>U2025-01</v>
      </c>
      <c r="L124" s="5"/>
    </row>
    <row r="125" spans="2:12" x14ac:dyDescent="0.35">
      <c r="B125" s="5" t="s">
        <v>36</v>
      </c>
      <c r="C125" s="5" t="str">
        <f>VLOOKUP(B125,Tabela4[],2,FALSE)</f>
        <v>Média</v>
      </c>
      <c r="D125" s="12" t="str">
        <f>VLOOKUP(B125,Tabela4[],3,FALSE)</f>
        <v>Rio Grande do Sul</v>
      </c>
      <c r="E125" s="16" t="s">
        <v>67</v>
      </c>
      <c r="F125" s="13">
        <f>VLOOKUP($K125,'FATURAMENTO '!$B$2:$F$302,4,FALSE)</f>
        <v>6239</v>
      </c>
      <c r="G125" s="13">
        <f>VLOOKUP($K125,'FATURAMENTO '!$B$2:$F$302,5,FALSE)</f>
        <v>3881.52</v>
      </c>
      <c r="H125" s="5" t="str">
        <f>VLOOKUP($K125,CHURN!$A$2:$E$302,4,FALSE)</f>
        <v>Ativo</v>
      </c>
      <c r="I125" s="11">
        <f t="shared" si="3"/>
        <v>0.37786183683282576</v>
      </c>
      <c r="J125" s="14" t="str">
        <f t="shared" si="4"/>
        <v>Médio valor</v>
      </c>
      <c r="K125" t="str">
        <f t="shared" si="5"/>
        <v>U2025-02</v>
      </c>
      <c r="L125" s="5"/>
    </row>
    <row r="126" spans="2:12" x14ac:dyDescent="0.35">
      <c r="B126" s="5" t="s">
        <v>36</v>
      </c>
      <c r="C126" s="5" t="str">
        <f>VLOOKUP(B126,Tabela4[],2,FALSE)</f>
        <v>Média</v>
      </c>
      <c r="D126" s="12" t="str">
        <f>VLOOKUP(B126,Tabela4[],3,FALSE)</f>
        <v>Rio Grande do Sul</v>
      </c>
      <c r="E126" s="16" t="s">
        <v>88</v>
      </c>
      <c r="F126" s="13">
        <f>VLOOKUP($K126,'FATURAMENTO '!$B$2:$F$302,4,FALSE)</f>
        <v>25102</v>
      </c>
      <c r="G126" s="13">
        <f>VLOOKUP($K126,'FATURAMENTO '!$B$2:$F$302,5,FALSE)</f>
        <v>12979.96</v>
      </c>
      <c r="H126" s="5" t="str">
        <f>VLOOKUP($K126,CHURN!$A$2:$E$302,4,FALSE)</f>
        <v>Ativo</v>
      </c>
      <c r="I126" s="11">
        <f t="shared" si="3"/>
        <v>0.48291132180702734</v>
      </c>
      <c r="J126" s="14" t="str">
        <f t="shared" si="4"/>
        <v>Médio valor</v>
      </c>
      <c r="K126" t="str">
        <f t="shared" si="5"/>
        <v>U2025-03</v>
      </c>
      <c r="L126" s="5"/>
    </row>
    <row r="127" spans="2:12" x14ac:dyDescent="0.35">
      <c r="B127" s="5" t="s">
        <v>36</v>
      </c>
      <c r="C127" s="5" t="str">
        <f>VLOOKUP(B127,Tabela4[],2,FALSE)</f>
        <v>Média</v>
      </c>
      <c r="D127" s="12" t="str">
        <f>VLOOKUP(B127,Tabela4[],3,FALSE)</f>
        <v>Rio Grande do Sul</v>
      </c>
      <c r="E127" s="16" t="s">
        <v>68</v>
      </c>
      <c r="F127" s="13">
        <f>VLOOKUP($K127,'FATURAMENTO '!$B$2:$F$302,4,FALSE)</f>
        <v>47907</v>
      </c>
      <c r="G127" s="13">
        <f>VLOOKUP($K127,'FATURAMENTO '!$B$2:$F$302,5,FALSE)</f>
        <v>26995.23</v>
      </c>
      <c r="H127" s="5" t="str">
        <f>VLOOKUP($K127,CHURN!$A$2:$E$302,4,FALSE)</f>
        <v>Cancelado</v>
      </c>
      <c r="I127" s="11">
        <f t="shared" si="3"/>
        <v>0.4365076084914522</v>
      </c>
      <c r="J127" s="14" t="str">
        <f t="shared" si="4"/>
        <v>Médio valor</v>
      </c>
      <c r="K127" t="str">
        <f t="shared" si="5"/>
        <v>U2025-04</v>
      </c>
      <c r="L127" s="5"/>
    </row>
    <row r="128" spans="2:12" x14ac:dyDescent="0.35">
      <c r="B128" s="5" t="s">
        <v>36</v>
      </c>
      <c r="C128" s="5" t="str">
        <f>VLOOKUP(B128,Tabela4[],2,FALSE)</f>
        <v>Média</v>
      </c>
      <c r="D128" s="12" t="str">
        <f>VLOOKUP(B128,Tabela4[],3,FALSE)</f>
        <v>Rio Grande do Sul</v>
      </c>
      <c r="E128" s="16" t="s">
        <v>69</v>
      </c>
      <c r="F128" s="13">
        <f>VLOOKUP($K128,'FATURAMENTO '!$B$2:$F$302,4,FALSE)</f>
        <v>32310</v>
      </c>
      <c r="G128" s="13">
        <f>VLOOKUP($K128,'FATURAMENTO '!$B$2:$F$302,5,FALSE)</f>
        <v>22971.5</v>
      </c>
      <c r="H128" s="5" t="str">
        <f>VLOOKUP($K128,CHURN!$A$2:$E$302,4,FALSE)</f>
        <v>Ativo</v>
      </c>
      <c r="I128" s="11">
        <f t="shared" si="3"/>
        <v>0.28902816465490561</v>
      </c>
      <c r="J128" s="14" t="str">
        <f t="shared" si="4"/>
        <v>Médio valor</v>
      </c>
      <c r="K128" t="str">
        <f t="shared" si="5"/>
        <v>U2025-05</v>
      </c>
      <c r="L128" s="5"/>
    </row>
    <row r="129" spans="2:12" x14ac:dyDescent="0.35">
      <c r="B129" s="5" t="s">
        <v>37</v>
      </c>
      <c r="C129" s="5" t="str">
        <f>VLOOKUP(B129,Tabela4[],2,FALSE)</f>
        <v>Grande</v>
      </c>
      <c r="D129" s="12" t="str">
        <f>VLOOKUP(B129,Tabela4[],3,FALSE)</f>
        <v>Minas Gerais</v>
      </c>
      <c r="E129" s="16" t="s">
        <v>6</v>
      </c>
      <c r="F129" s="13">
        <f>VLOOKUP($K129,'FATURAMENTO '!$B$2:$F$302,4,FALSE)</f>
        <v>20008</v>
      </c>
      <c r="G129" s="13">
        <f>VLOOKUP($K129,'FATURAMENTO '!$B$2:$F$302,5,FALSE)</f>
        <v>14046.47</v>
      </c>
      <c r="H129" s="5" t="str">
        <f>VLOOKUP($K129,CHURN!$A$2:$E$302,4,FALSE)</f>
        <v>Ativo</v>
      </c>
      <c r="I129" s="11">
        <f t="shared" si="3"/>
        <v>0.29795731707317075</v>
      </c>
      <c r="J129" s="14" t="str">
        <f t="shared" si="4"/>
        <v>Baixo valor</v>
      </c>
      <c r="K129" t="str">
        <f t="shared" si="5"/>
        <v>V2024-12</v>
      </c>
      <c r="L129" s="5"/>
    </row>
    <row r="130" spans="2:12" x14ac:dyDescent="0.35">
      <c r="B130" s="5" t="s">
        <v>37</v>
      </c>
      <c r="C130" s="5" t="str">
        <f>VLOOKUP(B130,Tabela4[],2,FALSE)</f>
        <v>Grande</v>
      </c>
      <c r="D130" s="12" t="str">
        <f>VLOOKUP(B130,Tabela4[],3,FALSE)</f>
        <v>Minas Gerais</v>
      </c>
      <c r="E130" s="16" t="s">
        <v>66</v>
      </c>
      <c r="F130" s="13">
        <f>VLOOKUP($K130,'FATURAMENTO '!$B$2:$F$302,4,FALSE)</f>
        <v>43449</v>
      </c>
      <c r="G130" s="13">
        <f>VLOOKUP($K130,'FATURAMENTO '!$B$2:$F$302,5,FALSE)</f>
        <v>34223.31</v>
      </c>
      <c r="H130" s="5" t="str">
        <f>VLOOKUP($K130,CHURN!$A$2:$E$302,4,FALSE)</f>
        <v>Ativo</v>
      </c>
      <c r="I130" s="11">
        <f t="shared" si="3"/>
        <v>0.21233377062763245</v>
      </c>
      <c r="J130" s="14" t="str">
        <f t="shared" si="4"/>
        <v>Baixo valor</v>
      </c>
      <c r="K130" t="str">
        <f t="shared" si="5"/>
        <v>V2025-01</v>
      </c>
      <c r="L130" s="5"/>
    </row>
    <row r="131" spans="2:12" x14ac:dyDescent="0.35">
      <c r="B131" s="5" t="s">
        <v>37</v>
      </c>
      <c r="C131" s="5" t="str">
        <f>VLOOKUP(B131,Tabela4[],2,FALSE)</f>
        <v>Grande</v>
      </c>
      <c r="D131" s="12" t="str">
        <f>VLOOKUP(B131,Tabela4[],3,FALSE)</f>
        <v>Minas Gerais</v>
      </c>
      <c r="E131" s="16" t="s">
        <v>67</v>
      </c>
      <c r="F131" s="13">
        <f>VLOOKUP($K131,'FATURAMENTO '!$B$2:$F$302,4,FALSE)</f>
        <v>31682</v>
      </c>
      <c r="G131" s="13">
        <f>VLOOKUP($K131,'FATURAMENTO '!$B$2:$F$302,5,FALSE)</f>
        <v>18524.57</v>
      </c>
      <c r="H131" s="5" t="str">
        <f>VLOOKUP($K131,CHURN!$A$2:$E$302,4,FALSE)</f>
        <v>Ativo</v>
      </c>
      <c r="I131" s="11">
        <f t="shared" si="3"/>
        <v>0.41529669844075501</v>
      </c>
      <c r="J131" s="14" t="str">
        <f t="shared" si="4"/>
        <v>Baixo valor</v>
      </c>
      <c r="K131" t="str">
        <f t="shared" si="5"/>
        <v>V2025-02</v>
      </c>
      <c r="L131" s="5"/>
    </row>
    <row r="132" spans="2:12" x14ac:dyDescent="0.35">
      <c r="B132" s="5" t="s">
        <v>37</v>
      </c>
      <c r="C132" s="5" t="str">
        <f>VLOOKUP(B132,Tabela4[],2,FALSE)</f>
        <v>Grande</v>
      </c>
      <c r="D132" s="12" t="str">
        <f>VLOOKUP(B132,Tabela4[],3,FALSE)</f>
        <v>Minas Gerais</v>
      </c>
      <c r="E132" s="16" t="s">
        <v>88</v>
      </c>
      <c r="F132" s="13">
        <f>VLOOKUP($K132,'FATURAMENTO '!$B$2:$F$302,4,FALSE)</f>
        <v>48767</v>
      </c>
      <c r="G132" s="13">
        <f>VLOOKUP($K132,'FATURAMENTO '!$B$2:$F$302,5,FALSE)</f>
        <v>27985.18</v>
      </c>
      <c r="H132" s="5" t="str">
        <f>VLOOKUP($K132,CHURN!$A$2:$E$302,4,FALSE)</f>
        <v>Cancelado</v>
      </c>
      <c r="I132" s="11">
        <f t="shared" ref="I132:I195" si="6">(F132-G132)/F132</f>
        <v>0.42614513913096969</v>
      </c>
      <c r="J132" s="14" t="str">
        <f t="shared" ref="J132:J195" si="7">IF(INDEX($I$3:$I$302,MATCH(B132,$B$3:$B$302,0))&gt;50%,"Alto valor",IF(INDEX($I$3:$I$302,MATCH(B132,$B$3:$B$302,0))&gt;=30%,"Médio valor","Baixo valor"))</f>
        <v>Baixo valor</v>
      </c>
      <c r="K132" t="str">
        <f t="shared" ref="K132:K195" si="8">CONCATENATE(B132,E132)</f>
        <v>V2025-03</v>
      </c>
      <c r="L132" s="5"/>
    </row>
    <row r="133" spans="2:12" x14ac:dyDescent="0.35">
      <c r="B133" s="5" t="s">
        <v>37</v>
      </c>
      <c r="C133" s="5" t="str">
        <f>VLOOKUP(B133,Tabela4[],2,FALSE)</f>
        <v>Grande</v>
      </c>
      <c r="D133" s="12" t="str">
        <f>VLOOKUP(B133,Tabela4[],3,FALSE)</f>
        <v>Minas Gerais</v>
      </c>
      <c r="E133" s="16" t="s">
        <v>68</v>
      </c>
      <c r="F133" s="13">
        <f>VLOOKUP($K133,'FATURAMENTO '!$B$2:$F$302,4,FALSE)</f>
        <v>37251</v>
      </c>
      <c r="G133" s="13">
        <f>VLOOKUP($K133,'FATURAMENTO '!$B$2:$F$302,5,FALSE)</f>
        <v>24543.64</v>
      </c>
      <c r="H133" s="5" t="str">
        <f>VLOOKUP($K133,CHURN!$A$2:$E$302,4,FALSE)</f>
        <v>Ativo</v>
      </c>
      <c r="I133" s="11">
        <f t="shared" si="6"/>
        <v>0.34112802340876758</v>
      </c>
      <c r="J133" s="14" t="str">
        <f t="shared" si="7"/>
        <v>Baixo valor</v>
      </c>
      <c r="K133" t="str">
        <f t="shared" si="8"/>
        <v>V2025-04</v>
      </c>
      <c r="L133" s="5"/>
    </row>
    <row r="134" spans="2:12" x14ac:dyDescent="0.35">
      <c r="B134" s="5" t="s">
        <v>37</v>
      </c>
      <c r="C134" s="5" t="str">
        <f>VLOOKUP(B134,Tabela4[],2,FALSE)</f>
        <v>Grande</v>
      </c>
      <c r="D134" s="12" t="str">
        <f>VLOOKUP(B134,Tabela4[],3,FALSE)</f>
        <v>Minas Gerais</v>
      </c>
      <c r="E134" s="16" t="s">
        <v>69</v>
      </c>
      <c r="F134" s="13">
        <f>VLOOKUP($K134,'FATURAMENTO '!$B$2:$F$302,4,FALSE)</f>
        <v>22468</v>
      </c>
      <c r="G134" s="13">
        <f>VLOOKUP($K134,'FATURAMENTO '!$B$2:$F$302,5,FALSE)</f>
        <v>14987.05</v>
      </c>
      <c r="H134" s="5" t="str">
        <f>VLOOKUP($K134,CHURN!$A$2:$E$302,4,FALSE)</f>
        <v>Cancelado</v>
      </c>
      <c r="I134" s="11">
        <f t="shared" si="6"/>
        <v>0.33296021007655335</v>
      </c>
      <c r="J134" s="14" t="str">
        <f t="shared" si="7"/>
        <v>Baixo valor</v>
      </c>
      <c r="K134" t="str">
        <f t="shared" si="8"/>
        <v>V2025-05</v>
      </c>
      <c r="L134" s="5"/>
    </row>
    <row r="135" spans="2:12" x14ac:dyDescent="0.35">
      <c r="B135" s="5" t="s">
        <v>38</v>
      </c>
      <c r="C135" s="5" t="str">
        <f>VLOOKUP(B135,Tabela4[],2,FALSE)</f>
        <v>Pequena</v>
      </c>
      <c r="D135" s="12" t="str">
        <f>VLOOKUP(B135,Tabela4[],3,FALSE)</f>
        <v>Minas Gerais</v>
      </c>
      <c r="E135" s="16" t="s">
        <v>6</v>
      </c>
      <c r="F135" s="13">
        <f>VLOOKUP($K135,'FATURAMENTO '!$B$2:$F$302,4,FALSE)</f>
        <v>46567</v>
      </c>
      <c r="G135" s="13">
        <f>VLOOKUP($K135,'FATURAMENTO '!$B$2:$F$302,5,FALSE)</f>
        <v>29089.37</v>
      </c>
      <c r="H135" s="5" t="str">
        <f>VLOOKUP($K135,CHURN!$A$2:$E$302,4,FALSE)</f>
        <v>Ativo</v>
      </c>
      <c r="I135" s="11">
        <f t="shared" si="6"/>
        <v>0.37532222389245606</v>
      </c>
      <c r="J135" s="14" t="str">
        <f t="shared" si="7"/>
        <v>Médio valor</v>
      </c>
      <c r="K135" t="str">
        <f t="shared" si="8"/>
        <v>X2024-12</v>
      </c>
      <c r="L135" s="5"/>
    </row>
    <row r="136" spans="2:12" x14ac:dyDescent="0.35">
      <c r="B136" s="5" t="s">
        <v>38</v>
      </c>
      <c r="C136" s="5" t="str">
        <f>VLOOKUP(B136,Tabela4[],2,FALSE)</f>
        <v>Pequena</v>
      </c>
      <c r="D136" s="12" t="str">
        <f>VLOOKUP(B136,Tabela4[],3,FALSE)</f>
        <v>Minas Gerais</v>
      </c>
      <c r="E136" s="16" t="s">
        <v>66</v>
      </c>
      <c r="F136" s="13">
        <f>VLOOKUP($K136,'FATURAMENTO '!$B$2:$F$302,4,FALSE)</f>
        <v>6613</v>
      </c>
      <c r="G136" s="13">
        <f>VLOOKUP($K136,'FATURAMENTO '!$B$2:$F$302,5,FALSE)</f>
        <v>3705.14</v>
      </c>
      <c r="H136" s="5" t="str">
        <f>VLOOKUP($K136,CHURN!$A$2:$E$302,4,FALSE)</f>
        <v>Cancelado</v>
      </c>
      <c r="I136" s="11">
        <f t="shared" si="6"/>
        <v>0.43971873582337823</v>
      </c>
      <c r="J136" s="14" t="str">
        <f t="shared" si="7"/>
        <v>Médio valor</v>
      </c>
      <c r="K136" t="str">
        <f t="shared" si="8"/>
        <v>X2025-01</v>
      </c>
      <c r="L136" s="5"/>
    </row>
    <row r="137" spans="2:12" x14ac:dyDescent="0.35">
      <c r="B137" s="5" t="s">
        <v>38</v>
      </c>
      <c r="C137" s="5" t="str">
        <f>VLOOKUP(B137,Tabela4[],2,FALSE)</f>
        <v>Pequena</v>
      </c>
      <c r="D137" s="12" t="str">
        <f>VLOOKUP(B137,Tabela4[],3,FALSE)</f>
        <v>Minas Gerais</v>
      </c>
      <c r="E137" s="16" t="s">
        <v>67</v>
      </c>
      <c r="F137" s="13">
        <f>VLOOKUP($K137,'FATURAMENTO '!$B$2:$F$302,4,FALSE)</f>
        <v>46185</v>
      </c>
      <c r="G137" s="13">
        <f>VLOOKUP($K137,'FATURAMENTO '!$B$2:$F$302,5,FALSE)</f>
        <v>36169.870000000003</v>
      </c>
      <c r="H137" s="5" t="str">
        <f>VLOOKUP($K137,CHURN!$A$2:$E$302,4,FALSE)</f>
        <v>Ativo</v>
      </c>
      <c r="I137" s="11">
        <f t="shared" si="6"/>
        <v>0.21684811085850378</v>
      </c>
      <c r="J137" s="14" t="str">
        <f t="shared" si="7"/>
        <v>Médio valor</v>
      </c>
      <c r="K137" t="str">
        <f t="shared" si="8"/>
        <v>X2025-02</v>
      </c>
      <c r="L137" s="5"/>
    </row>
    <row r="138" spans="2:12" x14ac:dyDescent="0.35">
      <c r="B138" s="5" t="s">
        <v>38</v>
      </c>
      <c r="C138" s="5" t="str">
        <f>VLOOKUP(B138,Tabela4[],2,FALSE)</f>
        <v>Pequena</v>
      </c>
      <c r="D138" s="12" t="str">
        <f>VLOOKUP(B138,Tabela4[],3,FALSE)</f>
        <v>Minas Gerais</v>
      </c>
      <c r="E138" s="16" t="s">
        <v>88</v>
      </c>
      <c r="F138" s="13">
        <f>VLOOKUP($K138,'FATURAMENTO '!$B$2:$F$302,4,FALSE)</f>
        <v>13135</v>
      </c>
      <c r="G138" s="13">
        <f>VLOOKUP($K138,'FATURAMENTO '!$B$2:$F$302,5,FALSE)</f>
        <v>8305.43</v>
      </c>
      <c r="H138" s="5" t="str">
        <f>VLOOKUP($K138,CHURN!$A$2:$E$302,4,FALSE)</f>
        <v>Ativo</v>
      </c>
      <c r="I138" s="11">
        <f t="shared" si="6"/>
        <v>0.36768709554625045</v>
      </c>
      <c r="J138" s="14" t="str">
        <f t="shared" si="7"/>
        <v>Médio valor</v>
      </c>
      <c r="K138" t="str">
        <f t="shared" si="8"/>
        <v>X2025-03</v>
      </c>
      <c r="L138" s="5"/>
    </row>
    <row r="139" spans="2:12" x14ac:dyDescent="0.35">
      <c r="B139" s="5" t="s">
        <v>38</v>
      </c>
      <c r="C139" s="5" t="str">
        <f>VLOOKUP(B139,Tabela4[],2,FALSE)</f>
        <v>Pequena</v>
      </c>
      <c r="D139" s="12" t="str">
        <f>VLOOKUP(B139,Tabela4[],3,FALSE)</f>
        <v>Minas Gerais</v>
      </c>
      <c r="E139" s="16" t="s">
        <v>68</v>
      </c>
      <c r="F139" s="13">
        <f>VLOOKUP($K139,'FATURAMENTO '!$B$2:$F$302,4,FALSE)</f>
        <v>24902</v>
      </c>
      <c r="G139" s="13">
        <f>VLOOKUP($K139,'FATURAMENTO '!$B$2:$F$302,5,FALSE)</f>
        <v>18556.7</v>
      </c>
      <c r="H139" s="5" t="str">
        <f>VLOOKUP($K139,CHURN!$A$2:$E$302,4,FALSE)</f>
        <v>Ativo</v>
      </c>
      <c r="I139" s="11">
        <f t="shared" si="6"/>
        <v>0.25481085856557706</v>
      </c>
      <c r="J139" s="14" t="str">
        <f t="shared" si="7"/>
        <v>Médio valor</v>
      </c>
      <c r="K139" t="str">
        <f t="shared" si="8"/>
        <v>X2025-04</v>
      </c>
      <c r="L139" s="5"/>
    </row>
    <row r="140" spans="2:12" x14ac:dyDescent="0.35">
      <c r="B140" s="5" t="s">
        <v>38</v>
      </c>
      <c r="C140" s="5" t="str">
        <f>VLOOKUP(B140,Tabela4[],2,FALSE)</f>
        <v>Pequena</v>
      </c>
      <c r="D140" s="12" t="str">
        <f>VLOOKUP(B140,Tabela4[],3,FALSE)</f>
        <v>Minas Gerais</v>
      </c>
      <c r="E140" s="16" t="s">
        <v>69</v>
      </c>
      <c r="F140" s="13">
        <f>VLOOKUP($K140,'FATURAMENTO '!$B$2:$F$302,4,FALSE)</f>
        <v>21992</v>
      </c>
      <c r="G140" s="13">
        <f>VLOOKUP($K140,'FATURAMENTO '!$B$2:$F$302,5,FALSE)</f>
        <v>13248.44</v>
      </c>
      <c r="H140" s="5" t="str">
        <f>VLOOKUP($K140,CHURN!$A$2:$E$302,4,FALSE)</f>
        <v>Cancelado</v>
      </c>
      <c r="I140" s="11">
        <f t="shared" si="6"/>
        <v>0.39757911967988357</v>
      </c>
      <c r="J140" s="14" t="str">
        <f t="shared" si="7"/>
        <v>Médio valor</v>
      </c>
      <c r="K140" t="str">
        <f t="shared" si="8"/>
        <v>X2025-05</v>
      </c>
      <c r="L140" s="5"/>
    </row>
    <row r="141" spans="2:12" x14ac:dyDescent="0.35">
      <c r="B141" s="5" t="s">
        <v>39</v>
      </c>
      <c r="C141" s="5" t="str">
        <f>VLOOKUP(B141,Tabela4[],2,FALSE)</f>
        <v>Grande</v>
      </c>
      <c r="D141" s="12" t="str">
        <f>VLOOKUP(B141,Tabela4[],3,FALSE)</f>
        <v>Santa Catarina</v>
      </c>
      <c r="E141" s="16" t="s">
        <v>6</v>
      </c>
      <c r="F141" s="13">
        <f>VLOOKUP($K141,'FATURAMENTO '!$B$2:$F$302,4,FALSE)</f>
        <v>43954</v>
      </c>
      <c r="G141" s="13">
        <f>VLOOKUP($K141,'FATURAMENTO '!$B$2:$F$302,5,FALSE)</f>
        <v>23015.58</v>
      </c>
      <c r="H141" s="5" t="str">
        <f>VLOOKUP($K141,CHURN!$A$2:$E$302,4,FALSE)</f>
        <v>Ativo</v>
      </c>
      <c r="I141" s="11">
        <f t="shared" si="6"/>
        <v>0.47637120626109108</v>
      </c>
      <c r="J141" s="14" t="str">
        <f t="shared" si="7"/>
        <v>Médio valor</v>
      </c>
      <c r="K141" t="str">
        <f t="shared" si="8"/>
        <v>W2024-12</v>
      </c>
      <c r="L141" s="5"/>
    </row>
    <row r="142" spans="2:12" x14ac:dyDescent="0.35">
      <c r="B142" s="5" t="s">
        <v>39</v>
      </c>
      <c r="C142" s="5" t="str">
        <f>VLOOKUP(B142,Tabela4[],2,FALSE)</f>
        <v>Grande</v>
      </c>
      <c r="D142" s="12" t="str">
        <f>VLOOKUP(B142,Tabela4[],3,FALSE)</f>
        <v>Santa Catarina</v>
      </c>
      <c r="E142" s="16" t="s">
        <v>66</v>
      </c>
      <c r="F142" s="13">
        <f>VLOOKUP($K142,'FATURAMENTO '!$B$2:$F$302,4,FALSE)</f>
        <v>17602</v>
      </c>
      <c r="G142" s="13">
        <f>VLOOKUP($K142,'FATURAMENTO '!$B$2:$F$302,5,FALSE)</f>
        <v>10768.44</v>
      </c>
      <c r="H142" s="5" t="str">
        <f>VLOOKUP($K142,CHURN!$A$2:$E$302,4,FALSE)</f>
        <v>Ativo</v>
      </c>
      <c r="I142" s="11">
        <f t="shared" si="6"/>
        <v>0.38822633791614586</v>
      </c>
      <c r="J142" s="14" t="str">
        <f t="shared" si="7"/>
        <v>Médio valor</v>
      </c>
      <c r="K142" t="str">
        <f t="shared" si="8"/>
        <v>W2025-01</v>
      </c>
      <c r="L142" s="5"/>
    </row>
    <row r="143" spans="2:12" x14ac:dyDescent="0.35">
      <c r="B143" s="5" t="s">
        <v>39</v>
      </c>
      <c r="C143" s="5" t="str">
        <f>VLOOKUP(B143,Tabela4[],2,FALSE)</f>
        <v>Grande</v>
      </c>
      <c r="D143" s="12" t="str">
        <f>VLOOKUP(B143,Tabela4[],3,FALSE)</f>
        <v>Santa Catarina</v>
      </c>
      <c r="E143" s="16" t="s">
        <v>67</v>
      </c>
      <c r="F143" s="13">
        <f>VLOOKUP($K143,'FATURAMENTO '!$B$2:$F$302,4,FALSE)</f>
        <v>49685</v>
      </c>
      <c r="G143" s="13">
        <f>VLOOKUP($K143,'FATURAMENTO '!$B$2:$F$302,5,FALSE)</f>
        <v>28990.560000000001</v>
      </c>
      <c r="H143" s="5" t="str">
        <f>VLOOKUP($K143,CHURN!$A$2:$E$302,4,FALSE)</f>
        <v>Ativo</v>
      </c>
      <c r="I143" s="11">
        <f t="shared" si="6"/>
        <v>0.41651283083425578</v>
      </c>
      <c r="J143" s="14" t="str">
        <f t="shared" si="7"/>
        <v>Médio valor</v>
      </c>
      <c r="K143" t="str">
        <f t="shared" si="8"/>
        <v>W2025-02</v>
      </c>
      <c r="L143" s="5"/>
    </row>
    <row r="144" spans="2:12" x14ac:dyDescent="0.35">
      <c r="B144" s="5" t="s">
        <v>39</v>
      </c>
      <c r="C144" s="5" t="str">
        <f>VLOOKUP(B144,Tabela4[],2,FALSE)</f>
        <v>Grande</v>
      </c>
      <c r="D144" s="12" t="str">
        <f>VLOOKUP(B144,Tabela4[],3,FALSE)</f>
        <v>Santa Catarina</v>
      </c>
      <c r="E144" s="16" t="s">
        <v>88</v>
      </c>
      <c r="F144" s="13">
        <f>VLOOKUP($K144,'FATURAMENTO '!$B$2:$F$302,4,FALSE)</f>
        <v>42082</v>
      </c>
      <c r="G144" s="13">
        <f>VLOOKUP($K144,'FATURAMENTO '!$B$2:$F$302,5,FALSE)</f>
        <v>29531.18</v>
      </c>
      <c r="H144" s="5" t="str">
        <f>VLOOKUP($K144,CHURN!$A$2:$E$302,4,FALSE)</f>
        <v>Ativo</v>
      </c>
      <c r="I144" s="11">
        <f t="shared" si="6"/>
        <v>0.2982467563328739</v>
      </c>
      <c r="J144" s="14" t="str">
        <f t="shared" si="7"/>
        <v>Médio valor</v>
      </c>
      <c r="K144" t="str">
        <f t="shared" si="8"/>
        <v>W2025-03</v>
      </c>
      <c r="L144" s="5"/>
    </row>
    <row r="145" spans="2:12" x14ac:dyDescent="0.35">
      <c r="B145" s="5" t="s">
        <v>39</v>
      </c>
      <c r="C145" s="5" t="str">
        <f>VLOOKUP(B145,Tabela4[],2,FALSE)</f>
        <v>Grande</v>
      </c>
      <c r="D145" s="12" t="str">
        <f>VLOOKUP(B145,Tabela4[],3,FALSE)</f>
        <v>Santa Catarina</v>
      </c>
      <c r="E145" s="16" t="s">
        <v>68</v>
      </c>
      <c r="F145" s="13">
        <f>VLOOKUP($K145,'FATURAMENTO '!$B$2:$F$302,4,FALSE)</f>
        <v>43161</v>
      </c>
      <c r="G145" s="13">
        <f>VLOOKUP($K145,'FATURAMENTO '!$B$2:$F$302,5,FALSE)</f>
        <v>28077.29</v>
      </c>
      <c r="H145" s="5" t="str">
        <f>VLOOKUP($K145,CHURN!$A$2:$E$302,4,FALSE)</f>
        <v>Ativo</v>
      </c>
      <c r="I145" s="11">
        <f t="shared" si="6"/>
        <v>0.34947545237598754</v>
      </c>
      <c r="J145" s="14" t="str">
        <f t="shared" si="7"/>
        <v>Médio valor</v>
      </c>
      <c r="K145" t="str">
        <f t="shared" si="8"/>
        <v>W2025-04</v>
      </c>
      <c r="L145" s="5"/>
    </row>
    <row r="146" spans="2:12" x14ac:dyDescent="0.35">
      <c r="B146" s="5" t="s">
        <v>39</v>
      </c>
      <c r="C146" s="5" t="str">
        <f>VLOOKUP(B146,Tabela4[],2,FALSE)</f>
        <v>Grande</v>
      </c>
      <c r="D146" s="12" t="str">
        <f>VLOOKUP(B146,Tabela4[],3,FALSE)</f>
        <v>Santa Catarina</v>
      </c>
      <c r="E146" s="16" t="s">
        <v>69</v>
      </c>
      <c r="F146" s="13">
        <f>VLOOKUP($K146,'FATURAMENTO '!$B$2:$F$302,4,FALSE)</f>
        <v>36095</v>
      </c>
      <c r="G146" s="13">
        <f>VLOOKUP($K146,'FATURAMENTO '!$B$2:$F$302,5,FALSE)</f>
        <v>19061.560000000001</v>
      </c>
      <c r="H146" s="5" t="str">
        <f>VLOOKUP($K146,CHURN!$A$2:$E$302,4,FALSE)</f>
        <v>Ativo</v>
      </c>
      <c r="I146" s="11">
        <f t="shared" si="6"/>
        <v>0.47190580412799554</v>
      </c>
      <c r="J146" s="14" t="str">
        <f t="shared" si="7"/>
        <v>Médio valor</v>
      </c>
      <c r="K146" t="str">
        <f t="shared" si="8"/>
        <v>W2025-05</v>
      </c>
      <c r="L146" s="5"/>
    </row>
    <row r="147" spans="2:12" x14ac:dyDescent="0.35">
      <c r="B147" s="5" t="s">
        <v>40</v>
      </c>
      <c r="C147" s="5" t="str">
        <f>VLOOKUP(B147,Tabela4[],2,FALSE)</f>
        <v>Pequena</v>
      </c>
      <c r="D147" s="12" t="str">
        <f>VLOOKUP(B147,Tabela4[],3,FALSE)</f>
        <v>Distrito Federal</v>
      </c>
      <c r="E147" s="16" t="s">
        <v>6</v>
      </c>
      <c r="F147" s="13">
        <f>VLOOKUP($K147,'FATURAMENTO '!$B$2:$F$302,4,FALSE)</f>
        <v>11107</v>
      </c>
      <c r="G147" s="13">
        <f>VLOOKUP($K147,'FATURAMENTO '!$B$2:$F$302,5,FALSE)</f>
        <v>7488.07</v>
      </c>
      <c r="H147" s="5" t="str">
        <f>VLOOKUP($K147,CHURN!$A$2:$E$302,4,FALSE)</f>
        <v>Ativo</v>
      </c>
      <c r="I147" s="11">
        <f t="shared" si="6"/>
        <v>0.32582425497434053</v>
      </c>
      <c r="J147" s="14" t="str">
        <f t="shared" si="7"/>
        <v>Médio valor</v>
      </c>
      <c r="K147" t="str">
        <f t="shared" si="8"/>
        <v>Y2024-12</v>
      </c>
      <c r="L147" s="5"/>
    </row>
    <row r="148" spans="2:12" x14ac:dyDescent="0.35">
      <c r="B148" s="5" t="s">
        <v>40</v>
      </c>
      <c r="C148" s="5" t="str">
        <f>VLOOKUP(B148,Tabela4[],2,FALSE)</f>
        <v>Pequena</v>
      </c>
      <c r="D148" s="12" t="str">
        <f>VLOOKUP(B148,Tabela4[],3,FALSE)</f>
        <v>Distrito Federal</v>
      </c>
      <c r="E148" s="16" t="s">
        <v>66</v>
      </c>
      <c r="F148" s="13">
        <f>VLOOKUP($K148,'FATURAMENTO '!$B$2:$F$302,4,FALSE)</f>
        <v>26020</v>
      </c>
      <c r="G148" s="13">
        <f>VLOOKUP($K148,'FATURAMENTO '!$B$2:$F$302,5,FALSE)</f>
        <v>19148.64</v>
      </c>
      <c r="H148" s="5" t="str">
        <f>VLOOKUP($K148,CHURN!$A$2:$E$302,4,FALSE)</f>
        <v>Ativo</v>
      </c>
      <c r="I148" s="11">
        <f t="shared" si="6"/>
        <v>0.26407993850883937</v>
      </c>
      <c r="J148" s="14" t="str">
        <f t="shared" si="7"/>
        <v>Médio valor</v>
      </c>
      <c r="K148" t="str">
        <f t="shared" si="8"/>
        <v>Y2025-01</v>
      </c>
      <c r="L148" s="5"/>
    </row>
    <row r="149" spans="2:12" x14ac:dyDescent="0.35">
      <c r="B149" s="5" t="s">
        <v>40</v>
      </c>
      <c r="C149" s="5" t="str">
        <f>VLOOKUP(B149,Tabela4[],2,FALSE)</f>
        <v>Pequena</v>
      </c>
      <c r="D149" s="12" t="str">
        <f>VLOOKUP(B149,Tabela4[],3,FALSE)</f>
        <v>Distrito Federal</v>
      </c>
      <c r="E149" s="16" t="s">
        <v>67</v>
      </c>
      <c r="F149" s="13">
        <f>VLOOKUP($K149,'FATURAMENTO '!$B$2:$F$302,4,FALSE)</f>
        <v>25224</v>
      </c>
      <c r="G149" s="13">
        <f>VLOOKUP($K149,'FATURAMENTO '!$B$2:$F$302,5,FALSE)</f>
        <v>19123.689999999999</v>
      </c>
      <c r="H149" s="5" t="str">
        <f>VLOOKUP($K149,CHURN!$A$2:$E$302,4,FALSE)</f>
        <v>Cancelado</v>
      </c>
      <c r="I149" s="11">
        <f t="shared" si="6"/>
        <v>0.24184546463685383</v>
      </c>
      <c r="J149" s="14" t="str">
        <f t="shared" si="7"/>
        <v>Médio valor</v>
      </c>
      <c r="K149" t="str">
        <f t="shared" si="8"/>
        <v>Y2025-02</v>
      </c>
      <c r="L149" s="5"/>
    </row>
    <row r="150" spans="2:12" x14ac:dyDescent="0.35">
      <c r="B150" s="5" t="s">
        <v>40</v>
      </c>
      <c r="C150" s="5" t="str">
        <f>VLOOKUP(B150,Tabela4[],2,FALSE)</f>
        <v>Pequena</v>
      </c>
      <c r="D150" s="12" t="str">
        <f>VLOOKUP(B150,Tabela4[],3,FALSE)</f>
        <v>Distrito Federal</v>
      </c>
      <c r="E150" s="16" t="s">
        <v>88</v>
      </c>
      <c r="F150" s="13">
        <f>VLOOKUP($K150,'FATURAMENTO '!$B$2:$F$302,4,FALSE)</f>
        <v>20585</v>
      </c>
      <c r="G150" s="13">
        <f>VLOOKUP($K150,'FATURAMENTO '!$B$2:$F$302,5,FALSE)</f>
        <v>15216.51</v>
      </c>
      <c r="H150" s="5" t="str">
        <f>VLOOKUP($K150,CHURN!$A$2:$E$302,4,FALSE)</f>
        <v>Ativo</v>
      </c>
      <c r="I150" s="11">
        <f t="shared" si="6"/>
        <v>0.26079621083313093</v>
      </c>
      <c r="J150" s="14" t="str">
        <f t="shared" si="7"/>
        <v>Médio valor</v>
      </c>
      <c r="K150" t="str">
        <f t="shared" si="8"/>
        <v>Y2025-03</v>
      </c>
      <c r="L150" s="5"/>
    </row>
    <row r="151" spans="2:12" x14ac:dyDescent="0.35">
      <c r="B151" s="5" t="s">
        <v>40</v>
      </c>
      <c r="C151" s="5" t="str">
        <f>VLOOKUP(B151,Tabela4[],2,FALSE)</f>
        <v>Pequena</v>
      </c>
      <c r="D151" s="12" t="str">
        <f>VLOOKUP(B151,Tabela4[],3,FALSE)</f>
        <v>Distrito Federal</v>
      </c>
      <c r="E151" s="16" t="s">
        <v>68</v>
      </c>
      <c r="F151" s="13">
        <f>VLOOKUP($K151,'FATURAMENTO '!$B$2:$F$302,4,FALSE)</f>
        <v>45898</v>
      </c>
      <c r="G151" s="13">
        <f>VLOOKUP($K151,'FATURAMENTO '!$B$2:$F$302,5,FALSE)</f>
        <v>32565.43</v>
      </c>
      <c r="H151" s="5" t="str">
        <f>VLOOKUP($K151,CHURN!$A$2:$E$302,4,FALSE)</f>
        <v>Cancelado</v>
      </c>
      <c r="I151" s="11">
        <f t="shared" si="6"/>
        <v>0.29048259183406683</v>
      </c>
      <c r="J151" s="14" t="str">
        <f t="shared" si="7"/>
        <v>Médio valor</v>
      </c>
      <c r="K151" t="str">
        <f t="shared" si="8"/>
        <v>Y2025-04</v>
      </c>
      <c r="L151" s="5"/>
    </row>
    <row r="152" spans="2:12" x14ac:dyDescent="0.35">
      <c r="B152" s="5" t="s">
        <v>40</v>
      </c>
      <c r="C152" s="5" t="str">
        <f>VLOOKUP(B152,Tabela4[],2,FALSE)</f>
        <v>Pequena</v>
      </c>
      <c r="D152" s="12" t="str">
        <f>VLOOKUP(B152,Tabela4[],3,FALSE)</f>
        <v>Distrito Federal</v>
      </c>
      <c r="E152" s="16" t="s">
        <v>69</v>
      </c>
      <c r="F152" s="13">
        <f>VLOOKUP($K152,'FATURAMENTO '!$B$2:$F$302,4,FALSE)</f>
        <v>9265</v>
      </c>
      <c r="G152" s="13">
        <f>VLOOKUP($K152,'FATURAMENTO '!$B$2:$F$302,5,FALSE)</f>
        <v>7037.71</v>
      </c>
      <c r="H152" s="5" t="str">
        <f>VLOOKUP($K152,CHURN!$A$2:$E$302,4,FALSE)</f>
        <v>Ativo</v>
      </c>
      <c r="I152" s="11">
        <f t="shared" si="6"/>
        <v>0.24039827307069617</v>
      </c>
      <c r="J152" s="14" t="str">
        <f t="shared" si="7"/>
        <v>Médio valor</v>
      </c>
      <c r="K152" t="str">
        <f t="shared" si="8"/>
        <v>Y2025-05</v>
      </c>
      <c r="L152" s="5"/>
    </row>
    <row r="153" spans="2:12" x14ac:dyDescent="0.35">
      <c r="B153" s="5" t="s">
        <v>41</v>
      </c>
      <c r="C153" s="5" t="str">
        <f>VLOOKUP(B153,Tabela4[],2,FALSE)</f>
        <v>Média</v>
      </c>
      <c r="D153" s="12" t="str">
        <f>VLOOKUP(B153,Tabela4[],3,FALSE)</f>
        <v>Rio Grande do Sul</v>
      </c>
      <c r="E153" s="16" t="s">
        <v>6</v>
      </c>
      <c r="F153" s="13">
        <f>VLOOKUP($K153,'FATURAMENTO '!$B$2:$F$302,4,FALSE)</f>
        <v>7187</v>
      </c>
      <c r="G153" s="13">
        <f>VLOOKUP($K153,'FATURAMENTO '!$B$2:$F$302,5,FALSE)</f>
        <v>5587.8</v>
      </c>
      <c r="H153" s="5" t="str">
        <f>VLOOKUP($K153,CHURN!$A$2:$E$302,4,FALSE)</f>
        <v>Ativo</v>
      </c>
      <c r="I153" s="11">
        <f t="shared" si="6"/>
        <v>0.22251287046055376</v>
      </c>
      <c r="J153" s="14" t="str">
        <f t="shared" si="7"/>
        <v>Baixo valor</v>
      </c>
      <c r="K153" t="str">
        <f t="shared" si="8"/>
        <v>Z2024-12</v>
      </c>
      <c r="L153" s="5"/>
    </row>
    <row r="154" spans="2:12" x14ac:dyDescent="0.35">
      <c r="B154" s="5" t="s">
        <v>41</v>
      </c>
      <c r="C154" s="5" t="str">
        <f>VLOOKUP(B154,Tabela4[],2,FALSE)</f>
        <v>Média</v>
      </c>
      <c r="D154" s="12" t="str">
        <f>VLOOKUP(B154,Tabela4[],3,FALSE)</f>
        <v>Rio Grande do Sul</v>
      </c>
      <c r="E154" s="16" t="s">
        <v>66</v>
      </c>
      <c r="F154" s="13">
        <f>VLOOKUP($K154,'FATURAMENTO '!$B$2:$F$302,4,FALSE)</f>
        <v>41871</v>
      </c>
      <c r="G154" s="13">
        <f>VLOOKUP($K154,'FATURAMENTO '!$B$2:$F$302,5,FALSE)</f>
        <v>30230.080000000002</v>
      </c>
      <c r="H154" s="5" t="str">
        <f>VLOOKUP($K154,CHURN!$A$2:$E$302,4,FALSE)</f>
        <v>Ativo</v>
      </c>
      <c r="I154" s="11">
        <f t="shared" si="6"/>
        <v>0.27801867641088102</v>
      </c>
      <c r="J154" s="14" t="str">
        <f t="shared" si="7"/>
        <v>Baixo valor</v>
      </c>
      <c r="K154" t="str">
        <f t="shared" si="8"/>
        <v>Z2025-01</v>
      </c>
      <c r="L154" s="5"/>
    </row>
    <row r="155" spans="2:12" x14ac:dyDescent="0.35">
      <c r="B155" s="5" t="s">
        <v>41</v>
      </c>
      <c r="C155" s="5" t="str">
        <f>VLOOKUP(B155,Tabela4[],2,FALSE)</f>
        <v>Média</v>
      </c>
      <c r="D155" s="12" t="str">
        <f>VLOOKUP(B155,Tabela4[],3,FALSE)</f>
        <v>Rio Grande do Sul</v>
      </c>
      <c r="E155" s="16" t="s">
        <v>67</v>
      </c>
      <c r="F155" s="13">
        <f>VLOOKUP($K155,'FATURAMENTO '!$B$2:$F$302,4,FALSE)</f>
        <v>11067</v>
      </c>
      <c r="G155" s="13">
        <f>VLOOKUP($K155,'FATURAMENTO '!$B$2:$F$302,5,FALSE)</f>
        <v>5741.22</v>
      </c>
      <c r="H155" s="5" t="str">
        <f>VLOOKUP($K155,CHURN!$A$2:$E$302,4,FALSE)</f>
        <v>Ativo</v>
      </c>
      <c r="I155" s="11">
        <f t="shared" si="6"/>
        <v>0.48123068582271616</v>
      </c>
      <c r="J155" s="14" t="str">
        <f t="shared" si="7"/>
        <v>Baixo valor</v>
      </c>
      <c r="K155" t="str">
        <f t="shared" si="8"/>
        <v>Z2025-02</v>
      </c>
      <c r="L155" s="5"/>
    </row>
    <row r="156" spans="2:12" x14ac:dyDescent="0.35">
      <c r="B156" s="5" t="s">
        <v>41</v>
      </c>
      <c r="C156" s="5" t="str">
        <f>VLOOKUP(B156,Tabela4[],2,FALSE)</f>
        <v>Média</v>
      </c>
      <c r="D156" s="12" t="str">
        <f>VLOOKUP(B156,Tabela4[],3,FALSE)</f>
        <v>Rio Grande do Sul</v>
      </c>
      <c r="E156" s="16" t="s">
        <v>88</v>
      </c>
      <c r="F156" s="13">
        <f>VLOOKUP($K156,'FATURAMENTO '!$B$2:$F$302,4,FALSE)</f>
        <v>6830</v>
      </c>
      <c r="G156" s="13">
        <f>VLOOKUP($K156,'FATURAMENTO '!$B$2:$F$302,5,FALSE)</f>
        <v>4184.37</v>
      </c>
      <c r="H156" s="5" t="str">
        <f>VLOOKUP($K156,CHURN!$A$2:$E$302,4,FALSE)</f>
        <v>Ativo</v>
      </c>
      <c r="I156" s="11">
        <f t="shared" si="6"/>
        <v>0.38735431918008784</v>
      </c>
      <c r="J156" s="14" t="str">
        <f t="shared" si="7"/>
        <v>Baixo valor</v>
      </c>
      <c r="K156" t="str">
        <f t="shared" si="8"/>
        <v>Z2025-03</v>
      </c>
      <c r="L156" s="5"/>
    </row>
    <row r="157" spans="2:12" x14ac:dyDescent="0.35">
      <c r="B157" s="5" t="s">
        <v>41</v>
      </c>
      <c r="C157" s="5" t="str">
        <f>VLOOKUP(B157,Tabela4[],2,FALSE)</f>
        <v>Média</v>
      </c>
      <c r="D157" s="12" t="str">
        <f>VLOOKUP(B157,Tabela4[],3,FALSE)</f>
        <v>Rio Grande do Sul</v>
      </c>
      <c r="E157" s="16" t="s">
        <v>68</v>
      </c>
      <c r="F157" s="13">
        <f>VLOOKUP($K157,'FATURAMENTO '!$B$2:$F$302,4,FALSE)</f>
        <v>40235</v>
      </c>
      <c r="G157" s="13">
        <f>VLOOKUP($K157,'FATURAMENTO '!$B$2:$F$302,5,FALSE)</f>
        <v>23150.44</v>
      </c>
      <c r="H157" s="5" t="str">
        <f>VLOOKUP($K157,CHURN!$A$2:$E$302,4,FALSE)</f>
        <v>Ativo</v>
      </c>
      <c r="I157" s="11">
        <f t="shared" si="6"/>
        <v>0.42461936125264077</v>
      </c>
      <c r="J157" s="14" t="str">
        <f t="shared" si="7"/>
        <v>Baixo valor</v>
      </c>
      <c r="K157" t="str">
        <f t="shared" si="8"/>
        <v>Z2025-04</v>
      </c>
      <c r="L157" s="5"/>
    </row>
    <row r="158" spans="2:12" x14ac:dyDescent="0.35">
      <c r="B158" s="5" t="s">
        <v>41</v>
      </c>
      <c r="C158" s="5" t="str">
        <f>VLOOKUP(B158,Tabela4[],2,FALSE)</f>
        <v>Média</v>
      </c>
      <c r="D158" s="12" t="str">
        <f>VLOOKUP(B158,Tabela4[],3,FALSE)</f>
        <v>Rio Grande do Sul</v>
      </c>
      <c r="E158" s="16" t="s">
        <v>69</v>
      </c>
      <c r="F158" s="13">
        <f>VLOOKUP($K158,'FATURAMENTO '!$B$2:$F$302,4,FALSE)</f>
        <v>35425</v>
      </c>
      <c r="G158" s="13">
        <f>VLOOKUP($K158,'FATURAMENTO '!$B$2:$F$302,5,FALSE)</f>
        <v>21884.63</v>
      </c>
      <c r="H158" s="5" t="str">
        <f>VLOOKUP($K158,CHURN!$A$2:$E$302,4,FALSE)</f>
        <v>Ativo</v>
      </c>
      <c r="I158" s="11">
        <f t="shared" si="6"/>
        <v>0.38222639378969653</v>
      </c>
      <c r="J158" s="14" t="str">
        <f t="shared" si="7"/>
        <v>Baixo valor</v>
      </c>
      <c r="K158" t="str">
        <f t="shared" si="8"/>
        <v>Z2025-05</v>
      </c>
      <c r="L158" s="5"/>
    </row>
    <row r="159" spans="2:12" x14ac:dyDescent="0.35">
      <c r="B159" s="5" t="s">
        <v>42</v>
      </c>
      <c r="C159" s="5" t="str">
        <f>VLOOKUP(B159,Tabela4[],2,FALSE)</f>
        <v>Pequena</v>
      </c>
      <c r="D159" s="12" t="str">
        <f>VLOOKUP(B159,Tabela4[],3,FALSE)</f>
        <v>Ceará</v>
      </c>
      <c r="E159" s="16" t="s">
        <v>6</v>
      </c>
      <c r="F159" s="13">
        <f>VLOOKUP($K159,'FATURAMENTO '!$B$2:$F$302,4,FALSE)</f>
        <v>28969</v>
      </c>
      <c r="G159" s="13">
        <f>VLOOKUP($K159,'FATURAMENTO '!$B$2:$F$302,5,FALSE)</f>
        <v>20582.7</v>
      </c>
      <c r="H159" s="5" t="str">
        <f>VLOOKUP($K159,CHURN!$A$2:$E$302,4,FALSE)</f>
        <v>Ativo</v>
      </c>
      <c r="I159" s="11">
        <f t="shared" si="6"/>
        <v>0.28949221581690771</v>
      </c>
      <c r="J159" s="14" t="str">
        <f t="shared" si="7"/>
        <v>Baixo valor</v>
      </c>
      <c r="K159" t="str">
        <f t="shared" si="8"/>
        <v>AA2024-12</v>
      </c>
      <c r="L159" s="5"/>
    </row>
    <row r="160" spans="2:12" x14ac:dyDescent="0.35">
      <c r="B160" s="5" t="s">
        <v>42</v>
      </c>
      <c r="C160" s="5" t="str">
        <f>VLOOKUP(B160,Tabela4[],2,FALSE)</f>
        <v>Pequena</v>
      </c>
      <c r="D160" s="12" t="str">
        <f>VLOOKUP(B160,Tabela4[],3,FALSE)</f>
        <v>Ceará</v>
      </c>
      <c r="E160" s="16" t="s">
        <v>66</v>
      </c>
      <c r="F160" s="13">
        <f>VLOOKUP($K160,'FATURAMENTO '!$B$2:$F$302,4,FALSE)</f>
        <v>2386</v>
      </c>
      <c r="G160" s="13">
        <f>VLOOKUP($K160,'FATURAMENTO '!$B$2:$F$302,5,FALSE)</f>
        <v>1690.13</v>
      </c>
      <c r="H160" s="5" t="str">
        <f>VLOOKUP($K160,CHURN!$A$2:$E$302,4,FALSE)</f>
        <v>Ativo</v>
      </c>
      <c r="I160" s="11">
        <f t="shared" si="6"/>
        <v>0.29164710813076272</v>
      </c>
      <c r="J160" s="14" t="str">
        <f t="shared" si="7"/>
        <v>Baixo valor</v>
      </c>
      <c r="K160" t="str">
        <f t="shared" si="8"/>
        <v>AA2025-01</v>
      </c>
      <c r="L160" s="5"/>
    </row>
    <row r="161" spans="2:12" x14ac:dyDescent="0.35">
      <c r="B161" s="5" t="s">
        <v>42</v>
      </c>
      <c r="C161" s="5" t="str">
        <f>VLOOKUP(B161,Tabela4[],2,FALSE)</f>
        <v>Pequena</v>
      </c>
      <c r="D161" s="12" t="str">
        <f>VLOOKUP(B161,Tabela4[],3,FALSE)</f>
        <v>Ceará</v>
      </c>
      <c r="E161" s="16" t="s">
        <v>67</v>
      </c>
      <c r="F161" s="13">
        <f>VLOOKUP($K161,'FATURAMENTO '!$B$2:$F$302,4,FALSE)</f>
        <v>40838</v>
      </c>
      <c r="G161" s="13">
        <f>VLOOKUP($K161,'FATURAMENTO '!$B$2:$F$302,5,FALSE)</f>
        <v>23362.16</v>
      </c>
      <c r="H161" s="5" t="str">
        <f>VLOOKUP($K161,CHURN!$A$2:$E$302,4,FALSE)</f>
        <v>Cancelado</v>
      </c>
      <c r="I161" s="11">
        <f t="shared" si="6"/>
        <v>0.42793084871933001</v>
      </c>
      <c r="J161" s="14" t="str">
        <f t="shared" si="7"/>
        <v>Baixo valor</v>
      </c>
      <c r="K161" t="str">
        <f t="shared" si="8"/>
        <v>AA2025-02</v>
      </c>
      <c r="L161" s="5"/>
    </row>
    <row r="162" spans="2:12" x14ac:dyDescent="0.35">
      <c r="B162" s="5" t="s">
        <v>42</v>
      </c>
      <c r="C162" s="5" t="str">
        <f>VLOOKUP(B162,Tabela4[],2,FALSE)</f>
        <v>Pequena</v>
      </c>
      <c r="D162" s="12" t="str">
        <f>VLOOKUP(B162,Tabela4[],3,FALSE)</f>
        <v>Ceará</v>
      </c>
      <c r="E162" s="16" t="s">
        <v>88</v>
      </c>
      <c r="F162" s="13">
        <f>VLOOKUP($K162,'FATURAMENTO '!$B$2:$F$302,4,FALSE)</f>
        <v>8978</v>
      </c>
      <c r="G162" s="13">
        <f>VLOOKUP($K162,'FATURAMENTO '!$B$2:$F$302,5,FALSE)</f>
        <v>5112.78</v>
      </c>
      <c r="H162" s="5" t="str">
        <f>VLOOKUP($K162,CHURN!$A$2:$E$302,4,FALSE)</f>
        <v>Ativo</v>
      </c>
      <c r="I162" s="11">
        <f t="shared" si="6"/>
        <v>0.43052127422588554</v>
      </c>
      <c r="J162" s="14" t="str">
        <f t="shared" si="7"/>
        <v>Baixo valor</v>
      </c>
      <c r="K162" t="str">
        <f t="shared" si="8"/>
        <v>AA2025-03</v>
      </c>
      <c r="L162" s="5"/>
    </row>
    <row r="163" spans="2:12" x14ac:dyDescent="0.35">
      <c r="B163" s="5" t="s">
        <v>42</v>
      </c>
      <c r="C163" s="5" t="str">
        <f>VLOOKUP(B163,Tabela4[],2,FALSE)</f>
        <v>Pequena</v>
      </c>
      <c r="D163" s="12" t="str">
        <f>VLOOKUP(B163,Tabela4[],3,FALSE)</f>
        <v>Ceará</v>
      </c>
      <c r="E163" s="16" t="s">
        <v>68</v>
      </c>
      <c r="F163" s="13">
        <f>VLOOKUP($K163,'FATURAMENTO '!$B$2:$F$302,4,FALSE)</f>
        <v>27839</v>
      </c>
      <c r="G163" s="13">
        <f>VLOOKUP($K163,'FATURAMENTO '!$B$2:$F$302,5,FALSE)</f>
        <v>17335.05</v>
      </c>
      <c r="H163" s="5" t="str">
        <f>VLOOKUP($K163,CHURN!$A$2:$E$302,4,FALSE)</f>
        <v>Ativo</v>
      </c>
      <c r="I163" s="11">
        <f t="shared" si="6"/>
        <v>0.37731060742124362</v>
      </c>
      <c r="J163" s="14" t="str">
        <f t="shared" si="7"/>
        <v>Baixo valor</v>
      </c>
      <c r="K163" t="str">
        <f t="shared" si="8"/>
        <v>AA2025-04</v>
      </c>
      <c r="L163" s="5"/>
    </row>
    <row r="164" spans="2:12" x14ac:dyDescent="0.35">
      <c r="B164" s="5" t="s">
        <v>42</v>
      </c>
      <c r="C164" s="5" t="str">
        <f>VLOOKUP(B164,Tabela4[],2,FALSE)</f>
        <v>Pequena</v>
      </c>
      <c r="D164" s="12" t="str">
        <f>VLOOKUP(B164,Tabela4[],3,FALSE)</f>
        <v>Ceará</v>
      </c>
      <c r="E164" s="16" t="s">
        <v>69</v>
      </c>
      <c r="F164" s="13">
        <f>VLOOKUP($K164,'FATURAMENTO '!$B$2:$F$302,4,FALSE)</f>
        <v>39248</v>
      </c>
      <c r="G164" s="13">
        <f>VLOOKUP($K164,'FATURAMENTO '!$B$2:$F$302,5,FALSE)</f>
        <v>22489.65</v>
      </c>
      <c r="H164" s="5" t="str">
        <f>VLOOKUP($K164,CHURN!$A$2:$E$302,4,FALSE)</f>
        <v>Ativo</v>
      </c>
      <c r="I164" s="11">
        <f t="shared" si="6"/>
        <v>0.42698608846310637</v>
      </c>
      <c r="J164" s="14" t="str">
        <f t="shared" si="7"/>
        <v>Baixo valor</v>
      </c>
      <c r="K164" t="str">
        <f t="shared" si="8"/>
        <v>AA2025-05</v>
      </c>
      <c r="L164" s="5"/>
    </row>
    <row r="165" spans="2:12" x14ac:dyDescent="0.35">
      <c r="B165" s="5" t="s">
        <v>43</v>
      </c>
      <c r="C165" s="5" t="str">
        <f>VLOOKUP(B165,Tabela4[],2,FALSE)</f>
        <v>Pequena</v>
      </c>
      <c r="D165" s="12" t="str">
        <f>VLOOKUP(B165,Tabela4[],3,FALSE)</f>
        <v>Minas Gerais</v>
      </c>
      <c r="E165" s="16" t="s">
        <v>6</v>
      </c>
      <c r="F165" s="13">
        <f>VLOOKUP($K165,'FATURAMENTO '!$B$2:$F$302,4,FALSE)</f>
        <v>23771</v>
      </c>
      <c r="G165" s="13">
        <f>VLOOKUP($K165,'FATURAMENTO '!$B$2:$F$302,5,FALSE)</f>
        <v>18909.580000000002</v>
      </c>
      <c r="H165" s="5" t="str">
        <f>VLOOKUP($K165,CHURN!$A$2:$E$302,4,FALSE)</f>
        <v>Cancelado</v>
      </c>
      <c r="I165" s="11">
        <f t="shared" si="6"/>
        <v>0.20451053805056574</v>
      </c>
      <c r="J165" s="14" t="str">
        <f t="shared" si="7"/>
        <v>Baixo valor</v>
      </c>
      <c r="K165" t="str">
        <f t="shared" si="8"/>
        <v>AB2024-12</v>
      </c>
      <c r="L165" s="5"/>
    </row>
    <row r="166" spans="2:12" x14ac:dyDescent="0.35">
      <c r="B166" s="5" t="s">
        <v>43</v>
      </c>
      <c r="C166" s="5" t="str">
        <f>VLOOKUP(B166,Tabela4[],2,FALSE)</f>
        <v>Pequena</v>
      </c>
      <c r="D166" s="12" t="str">
        <f>VLOOKUP(B166,Tabela4[],3,FALSE)</f>
        <v>Minas Gerais</v>
      </c>
      <c r="E166" s="16" t="s">
        <v>66</v>
      </c>
      <c r="F166" s="13">
        <f>VLOOKUP($K166,'FATURAMENTO '!$B$2:$F$302,4,FALSE)</f>
        <v>34600</v>
      </c>
      <c r="G166" s="13">
        <f>VLOOKUP($K166,'FATURAMENTO '!$B$2:$F$302,5,FALSE)</f>
        <v>27023.13</v>
      </c>
      <c r="H166" s="5" t="str">
        <f>VLOOKUP($K166,CHURN!$A$2:$E$302,4,FALSE)</f>
        <v>Cancelado</v>
      </c>
      <c r="I166" s="11">
        <f t="shared" si="6"/>
        <v>0.21898468208092484</v>
      </c>
      <c r="J166" s="14" t="str">
        <f t="shared" si="7"/>
        <v>Baixo valor</v>
      </c>
      <c r="K166" t="str">
        <f t="shared" si="8"/>
        <v>AB2025-01</v>
      </c>
      <c r="L166" s="5"/>
    </row>
    <row r="167" spans="2:12" x14ac:dyDescent="0.35">
      <c r="B167" s="5" t="s">
        <v>43</v>
      </c>
      <c r="C167" s="5" t="str">
        <f>VLOOKUP(B167,Tabela4[],2,FALSE)</f>
        <v>Pequena</v>
      </c>
      <c r="D167" s="12" t="str">
        <f>VLOOKUP(B167,Tabela4[],3,FALSE)</f>
        <v>Minas Gerais</v>
      </c>
      <c r="E167" s="16" t="s">
        <v>67</v>
      </c>
      <c r="F167" s="13">
        <f>VLOOKUP($K167,'FATURAMENTO '!$B$2:$F$302,4,FALSE)</f>
        <v>22016</v>
      </c>
      <c r="G167" s="13">
        <f>VLOOKUP($K167,'FATURAMENTO '!$B$2:$F$302,5,FALSE)</f>
        <v>14173.99</v>
      </c>
      <c r="H167" s="5" t="str">
        <f>VLOOKUP($K167,CHURN!$A$2:$E$302,4,FALSE)</f>
        <v>Ativo</v>
      </c>
      <c r="I167" s="11">
        <f t="shared" si="6"/>
        <v>0.35619594840116281</v>
      </c>
      <c r="J167" s="14" t="str">
        <f t="shared" si="7"/>
        <v>Baixo valor</v>
      </c>
      <c r="K167" t="str">
        <f t="shared" si="8"/>
        <v>AB2025-02</v>
      </c>
      <c r="L167" s="5"/>
    </row>
    <row r="168" spans="2:12" x14ac:dyDescent="0.35">
      <c r="B168" s="5" t="s">
        <v>43</v>
      </c>
      <c r="C168" s="5" t="str">
        <f>VLOOKUP(B168,Tabela4[],2,FALSE)</f>
        <v>Pequena</v>
      </c>
      <c r="D168" s="12" t="str">
        <f>VLOOKUP(B168,Tabela4[],3,FALSE)</f>
        <v>Minas Gerais</v>
      </c>
      <c r="E168" s="16" t="s">
        <v>88</v>
      </c>
      <c r="F168" s="13">
        <f>VLOOKUP($K168,'FATURAMENTO '!$B$2:$F$302,4,FALSE)</f>
        <v>8422</v>
      </c>
      <c r="G168" s="13">
        <f>VLOOKUP($K168,'FATURAMENTO '!$B$2:$F$302,5,FALSE)</f>
        <v>4549.87</v>
      </c>
      <c r="H168" s="5" t="str">
        <f>VLOOKUP($K168,CHURN!$A$2:$E$302,4,FALSE)</f>
        <v>Ativo</v>
      </c>
      <c r="I168" s="11">
        <f t="shared" si="6"/>
        <v>0.45976371408216576</v>
      </c>
      <c r="J168" s="14" t="str">
        <f t="shared" si="7"/>
        <v>Baixo valor</v>
      </c>
      <c r="K168" t="str">
        <f t="shared" si="8"/>
        <v>AB2025-03</v>
      </c>
      <c r="L168" s="5"/>
    </row>
    <row r="169" spans="2:12" x14ac:dyDescent="0.35">
      <c r="B169" s="5" t="s">
        <v>43</v>
      </c>
      <c r="C169" s="5" t="str">
        <f>VLOOKUP(B169,Tabela4[],2,FALSE)</f>
        <v>Pequena</v>
      </c>
      <c r="D169" s="12" t="str">
        <f>VLOOKUP(B169,Tabela4[],3,FALSE)</f>
        <v>Minas Gerais</v>
      </c>
      <c r="E169" s="16" t="s">
        <v>68</v>
      </c>
      <c r="F169" s="13">
        <f>VLOOKUP($K169,'FATURAMENTO '!$B$2:$F$302,4,FALSE)</f>
        <v>30851</v>
      </c>
      <c r="G169" s="13">
        <f>VLOOKUP($K169,'FATURAMENTO '!$B$2:$F$302,5,FALSE)</f>
        <v>17088.32</v>
      </c>
      <c r="H169" s="5" t="str">
        <f>VLOOKUP($K169,CHURN!$A$2:$E$302,4,FALSE)</f>
        <v>Ativo</v>
      </c>
      <c r="I169" s="11">
        <f t="shared" si="6"/>
        <v>0.44610158503776215</v>
      </c>
      <c r="J169" s="14" t="str">
        <f t="shared" si="7"/>
        <v>Baixo valor</v>
      </c>
      <c r="K169" t="str">
        <f t="shared" si="8"/>
        <v>AB2025-04</v>
      </c>
      <c r="L169" s="5"/>
    </row>
    <row r="170" spans="2:12" x14ac:dyDescent="0.35">
      <c r="B170" s="5" t="s">
        <v>43</v>
      </c>
      <c r="C170" s="5" t="str">
        <f>VLOOKUP(B170,Tabela4[],2,FALSE)</f>
        <v>Pequena</v>
      </c>
      <c r="D170" s="12" t="str">
        <f>VLOOKUP(B170,Tabela4[],3,FALSE)</f>
        <v>Minas Gerais</v>
      </c>
      <c r="E170" s="16" t="s">
        <v>69</v>
      </c>
      <c r="F170" s="13">
        <f>VLOOKUP($K170,'FATURAMENTO '!$B$2:$F$302,4,FALSE)</f>
        <v>10593</v>
      </c>
      <c r="G170" s="13">
        <f>VLOOKUP($K170,'FATURAMENTO '!$B$2:$F$302,5,FALSE)</f>
        <v>5393.04</v>
      </c>
      <c r="H170" s="5" t="str">
        <f>VLOOKUP($K170,CHURN!$A$2:$E$302,4,FALSE)</f>
        <v>Cancelado</v>
      </c>
      <c r="I170" s="11">
        <f t="shared" si="6"/>
        <v>0.49088643443783631</v>
      </c>
      <c r="J170" s="14" t="str">
        <f t="shared" si="7"/>
        <v>Baixo valor</v>
      </c>
      <c r="K170" t="str">
        <f t="shared" si="8"/>
        <v>AB2025-05</v>
      </c>
      <c r="L170" s="5"/>
    </row>
    <row r="171" spans="2:12" x14ac:dyDescent="0.35">
      <c r="B171" s="5" t="s">
        <v>44</v>
      </c>
      <c r="C171" s="5" t="str">
        <f>VLOOKUP(B171,Tabela4[],2,FALSE)</f>
        <v>Pequena</v>
      </c>
      <c r="D171" s="12" t="str">
        <f>VLOOKUP(B171,Tabela4[],3,FALSE)</f>
        <v>Paraná</v>
      </c>
      <c r="E171" s="16" t="s">
        <v>6</v>
      </c>
      <c r="F171" s="13">
        <f>VLOOKUP($K171,'FATURAMENTO '!$B$2:$F$302,4,FALSE)</f>
        <v>39501</v>
      </c>
      <c r="G171" s="13">
        <f>VLOOKUP($K171,'FATURAMENTO '!$B$2:$F$302,5,FALSE)</f>
        <v>21731.37</v>
      </c>
      <c r="H171" s="5" t="str">
        <f>VLOOKUP($K171,CHURN!$A$2:$E$302,4,FALSE)</f>
        <v>Ativo</v>
      </c>
      <c r="I171" s="11">
        <f t="shared" si="6"/>
        <v>0.44985266195792512</v>
      </c>
      <c r="J171" s="14" t="str">
        <f t="shared" si="7"/>
        <v>Médio valor</v>
      </c>
      <c r="K171" t="str">
        <f t="shared" si="8"/>
        <v>AC2024-12</v>
      </c>
      <c r="L171" s="5"/>
    </row>
    <row r="172" spans="2:12" x14ac:dyDescent="0.35">
      <c r="B172" s="5" t="s">
        <v>44</v>
      </c>
      <c r="C172" s="5" t="str">
        <f>VLOOKUP(B172,Tabela4[],2,FALSE)</f>
        <v>Pequena</v>
      </c>
      <c r="D172" s="12" t="str">
        <f>VLOOKUP(B172,Tabela4[],3,FALSE)</f>
        <v>Paraná</v>
      </c>
      <c r="E172" s="16" t="s">
        <v>66</v>
      </c>
      <c r="F172" s="13">
        <f>VLOOKUP($K172,'FATURAMENTO '!$B$2:$F$302,4,FALSE)</f>
        <v>34417</v>
      </c>
      <c r="G172" s="13">
        <f>VLOOKUP($K172,'FATURAMENTO '!$B$2:$F$302,5,FALSE)</f>
        <v>21307.68</v>
      </c>
      <c r="H172" s="5" t="str">
        <f>VLOOKUP($K172,CHURN!$A$2:$E$302,4,FALSE)</f>
        <v>Ativo</v>
      </c>
      <c r="I172" s="11">
        <f t="shared" si="6"/>
        <v>0.380896649911381</v>
      </c>
      <c r="J172" s="14" t="str">
        <f t="shared" si="7"/>
        <v>Médio valor</v>
      </c>
      <c r="K172" t="str">
        <f t="shared" si="8"/>
        <v>AC2025-01</v>
      </c>
      <c r="L172" s="5"/>
    </row>
    <row r="173" spans="2:12" x14ac:dyDescent="0.35">
      <c r="B173" s="5" t="s">
        <v>44</v>
      </c>
      <c r="C173" s="5" t="str">
        <f>VLOOKUP(B173,Tabela4[],2,FALSE)</f>
        <v>Pequena</v>
      </c>
      <c r="D173" s="12" t="str">
        <f>VLOOKUP(B173,Tabela4[],3,FALSE)</f>
        <v>Paraná</v>
      </c>
      <c r="E173" s="16" t="s">
        <v>67</v>
      </c>
      <c r="F173" s="13">
        <f>VLOOKUP($K173,'FATURAMENTO '!$B$2:$F$302,4,FALSE)</f>
        <v>21078</v>
      </c>
      <c r="G173" s="13">
        <f>VLOOKUP($K173,'FATURAMENTO '!$B$2:$F$302,5,FALSE)</f>
        <v>16782.36</v>
      </c>
      <c r="H173" s="5" t="str">
        <f>VLOOKUP($K173,CHURN!$A$2:$E$302,4,FALSE)</f>
        <v>Ativo</v>
      </c>
      <c r="I173" s="11">
        <f t="shared" si="6"/>
        <v>0.20379732422430968</v>
      </c>
      <c r="J173" s="14" t="str">
        <f t="shared" si="7"/>
        <v>Médio valor</v>
      </c>
      <c r="K173" t="str">
        <f t="shared" si="8"/>
        <v>AC2025-02</v>
      </c>
      <c r="L173" s="5"/>
    </row>
    <row r="174" spans="2:12" x14ac:dyDescent="0.35">
      <c r="B174" s="5" t="s">
        <v>44</v>
      </c>
      <c r="C174" s="5" t="str">
        <f>VLOOKUP(B174,Tabela4[],2,FALSE)</f>
        <v>Pequena</v>
      </c>
      <c r="D174" s="12" t="str">
        <f>VLOOKUP(B174,Tabela4[],3,FALSE)</f>
        <v>Paraná</v>
      </c>
      <c r="E174" s="16" t="s">
        <v>88</v>
      </c>
      <c r="F174" s="13">
        <f>VLOOKUP($K174,'FATURAMENTO '!$B$2:$F$302,4,FALSE)</f>
        <v>33430</v>
      </c>
      <c r="G174" s="13">
        <f>VLOOKUP($K174,'FATURAMENTO '!$B$2:$F$302,5,FALSE)</f>
        <v>22323.15</v>
      </c>
      <c r="H174" s="5" t="str">
        <f>VLOOKUP($K174,CHURN!$A$2:$E$302,4,FALSE)</f>
        <v>Ativo</v>
      </c>
      <c r="I174" s="11">
        <f t="shared" si="6"/>
        <v>0.33224199820520484</v>
      </c>
      <c r="J174" s="14" t="str">
        <f t="shared" si="7"/>
        <v>Médio valor</v>
      </c>
      <c r="K174" t="str">
        <f t="shared" si="8"/>
        <v>AC2025-03</v>
      </c>
      <c r="L174" s="5"/>
    </row>
    <row r="175" spans="2:12" x14ac:dyDescent="0.35">
      <c r="B175" s="5" t="s">
        <v>44</v>
      </c>
      <c r="C175" s="5" t="str">
        <f>VLOOKUP(B175,Tabela4[],2,FALSE)</f>
        <v>Pequena</v>
      </c>
      <c r="D175" s="12" t="str">
        <f>VLOOKUP(B175,Tabela4[],3,FALSE)</f>
        <v>Paraná</v>
      </c>
      <c r="E175" s="16" t="s">
        <v>68</v>
      </c>
      <c r="F175" s="13">
        <f>VLOOKUP($K175,'FATURAMENTO '!$B$2:$F$302,4,FALSE)</f>
        <v>43196</v>
      </c>
      <c r="G175" s="13">
        <f>VLOOKUP($K175,'FATURAMENTO '!$B$2:$F$302,5,FALSE)</f>
        <v>28280.79</v>
      </c>
      <c r="H175" s="5" t="str">
        <f>VLOOKUP($K175,CHURN!$A$2:$E$302,4,FALSE)</f>
        <v>Ativo</v>
      </c>
      <c r="I175" s="11">
        <f t="shared" si="6"/>
        <v>0.34529146217242335</v>
      </c>
      <c r="J175" s="14" t="str">
        <f t="shared" si="7"/>
        <v>Médio valor</v>
      </c>
      <c r="K175" t="str">
        <f t="shared" si="8"/>
        <v>AC2025-04</v>
      </c>
      <c r="L175" s="5"/>
    </row>
    <row r="176" spans="2:12" x14ac:dyDescent="0.35">
      <c r="B176" s="5" t="s">
        <v>44</v>
      </c>
      <c r="C176" s="5" t="str">
        <f>VLOOKUP(B176,Tabela4[],2,FALSE)</f>
        <v>Pequena</v>
      </c>
      <c r="D176" s="12" t="str">
        <f>VLOOKUP(B176,Tabela4[],3,FALSE)</f>
        <v>Paraná</v>
      </c>
      <c r="E176" s="16" t="s">
        <v>69</v>
      </c>
      <c r="F176" s="13">
        <f>VLOOKUP($K176,'FATURAMENTO '!$B$2:$F$302,4,FALSE)</f>
        <v>40074</v>
      </c>
      <c r="G176" s="13">
        <f>VLOOKUP($K176,'FATURAMENTO '!$B$2:$F$302,5,FALSE)</f>
        <v>28216.23</v>
      </c>
      <c r="H176" s="5" t="str">
        <f>VLOOKUP($K176,CHURN!$A$2:$E$302,4,FALSE)</f>
        <v>Ativo</v>
      </c>
      <c r="I176" s="11">
        <f t="shared" si="6"/>
        <v>0.29589684084443779</v>
      </c>
      <c r="J176" s="14" t="str">
        <f t="shared" si="7"/>
        <v>Médio valor</v>
      </c>
      <c r="K176" t="str">
        <f t="shared" si="8"/>
        <v>AC2025-05</v>
      </c>
      <c r="L176" s="5"/>
    </row>
    <row r="177" spans="2:12" x14ac:dyDescent="0.35">
      <c r="B177" s="5" t="s">
        <v>45</v>
      </c>
      <c r="C177" s="5" t="str">
        <f>VLOOKUP(B177,Tabela4[],2,FALSE)</f>
        <v>Grande</v>
      </c>
      <c r="D177" s="12" t="str">
        <f>VLOOKUP(B177,Tabela4[],3,FALSE)</f>
        <v>São Paulo</v>
      </c>
      <c r="E177" s="16" t="s">
        <v>6</v>
      </c>
      <c r="F177" s="13">
        <f>VLOOKUP($K177,'FATURAMENTO '!$B$2:$F$302,4,FALSE)</f>
        <v>15094</v>
      </c>
      <c r="G177" s="13">
        <f>VLOOKUP($K177,'FATURAMENTO '!$B$2:$F$302,5,FALSE)</f>
        <v>9779.6200000000008</v>
      </c>
      <c r="H177" s="5" t="str">
        <f>VLOOKUP($K177,CHURN!$A$2:$E$302,4,FALSE)</f>
        <v>Ativo</v>
      </c>
      <c r="I177" s="11">
        <f t="shared" si="6"/>
        <v>0.35208559692593078</v>
      </c>
      <c r="J177" s="14" t="str">
        <f t="shared" si="7"/>
        <v>Médio valor</v>
      </c>
      <c r="K177" t="str">
        <f t="shared" si="8"/>
        <v>AD2024-12</v>
      </c>
      <c r="L177" s="5"/>
    </row>
    <row r="178" spans="2:12" x14ac:dyDescent="0.35">
      <c r="B178" s="5" t="s">
        <v>45</v>
      </c>
      <c r="C178" s="5" t="str">
        <f>VLOOKUP(B178,Tabela4[],2,FALSE)</f>
        <v>Grande</v>
      </c>
      <c r="D178" s="12" t="str">
        <f>VLOOKUP(B178,Tabela4[],3,FALSE)</f>
        <v>São Paulo</v>
      </c>
      <c r="E178" s="16" t="s">
        <v>66</v>
      </c>
      <c r="F178" s="13">
        <f>VLOOKUP($K178,'FATURAMENTO '!$B$2:$F$302,4,FALSE)</f>
        <v>18751</v>
      </c>
      <c r="G178" s="13">
        <f>VLOOKUP($K178,'FATURAMENTO '!$B$2:$F$302,5,FALSE)</f>
        <v>12296.08</v>
      </c>
      <c r="H178" s="5" t="str">
        <f>VLOOKUP($K178,CHURN!$A$2:$E$302,4,FALSE)</f>
        <v>Ativo</v>
      </c>
      <c r="I178" s="11">
        <f t="shared" si="6"/>
        <v>0.34424404031784972</v>
      </c>
      <c r="J178" s="14" t="str">
        <f t="shared" si="7"/>
        <v>Médio valor</v>
      </c>
      <c r="K178" t="str">
        <f t="shared" si="8"/>
        <v>AD2025-01</v>
      </c>
      <c r="L178" s="5"/>
    </row>
    <row r="179" spans="2:12" x14ac:dyDescent="0.35">
      <c r="B179" s="5" t="s">
        <v>45</v>
      </c>
      <c r="C179" s="5" t="str">
        <f>VLOOKUP(B179,Tabela4[],2,FALSE)</f>
        <v>Grande</v>
      </c>
      <c r="D179" s="12" t="str">
        <f>VLOOKUP(B179,Tabela4[],3,FALSE)</f>
        <v>São Paulo</v>
      </c>
      <c r="E179" s="16" t="s">
        <v>67</v>
      </c>
      <c r="F179" s="13">
        <f>VLOOKUP($K179,'FATURAMENTO '!$B$2:$F$302,4,FALSE)</f>
        <v>21586</v>
      </c>
      <c r="G179" s="13">
        <f>VLOOKUP($K179,'FATURAMENTO '!$B$2:$F$302,5,FALSE)</f>
        <v>14257.13</v>
      </c>
      <c r="H179" s="5" t="str">
        <f>VLOOKUP($K179,CHURN!$A$2:$E$302,4,FALSE)</f>
        <v>Ativo</v>
      </c>
      <c r="I179" s="11">
        <f t="shared" si="6"/>
        <v>0.3395195960344668</v>
      </c>
      <c r="J179" s="14" t="str">
        <f t="shared" si="7"/>
        <v>Médio valor</v>
      </c>
      <c r="K179" t="str">
        <f t="shared" si="8"/>
        <v>AD2025-02</v>
      </c>
      <c r="L179" s="5"/>
    </row>
    <row r="180" spans="2:12" x14ac:dyDescent="0.35">
      <c r="B180" s="5" t="s">
        <v>45</v>
      </c>
      <c r="C180" s="5" t="str">
        <f>VLOOKUP(B180,Tabela4[],2,FALSE)</f>
        <v>Grande</v>
      </c>
      <c r="D180" s="12" t="str">
        <f>VLOOKUP(B180,Tabela4[],3,FALSE)</f>
        <v>São Paulo</v>
      </c>
      <c r="E180" s="16" t="s">
        <v>88</v>
      </c>
      <c r="F180" s="13">
        <f>VLOOKUP($K180,'FATURAMENTO '!$B$2:$F$302,4,FALSE)</f>
        <v>48315</v>
      </c>
      <c r="G180" s="13">
        <f>VLOOKUP($K180,'FATURAMENTO '!$B$2:$F$302,5,FALSE)</f>
        <v>27348.19</v>
      </c>
      <c r="H180" s="5" t="str">
        <f>VLOOKUP($K180,CHURN!$A$2:$E$302,4,FALSE)</f>
        <v>Ativo</v>
      </c>
      <c r="I180" s="11">
        <f t="shared" si="6"/>
        <v>0.43396067473869404</v>
      </c>
      <c r="J180" s="14" t="str">
        <f t="shared" si="7"/>
        <v>Médio valor</v>
      </c>
      <c r="K180" t="str">
        <f t="shared" si="8"/>
        <v>AD2025-03</v>
      </c>
      <c r="L180" s="5"/>
    </row>
    <row r="181" spans="2:12" x14ac:dyDescent="0.35">
      <c r="B181" s="5" t="s">
        <v>45</v>
      </c>
      <c r="C181" s="5" t="str">
        <f>VLOOKUP(B181,Tabela4[],2,FALSE)</f>
        <v>Grande</v>
      </c>
      <c r="D181" s="12" t="str">
        <f>VLOOKUP(B181,Tabela4[],3,FALSE)</f>
        <v>São Paulo</v>
      </c>
      <c r="E181" s="16" t="s">
        <v>68</v>
      </c>
      <c r="F181" s="13">
        <f>VLOOKUP($K181,'FATURAMENTO '!$B$2:$F$302,4,FALSE)</f>
        <v>7391</v>
      </c>
      <c r="G181" s="13">
        <f>VLOOKUP($K181,'FATURAMENTO '!$B$2:$F$302,5,FALSE)</f>
        <v>4785.66</v>
      </c>
      <c r="H181" s="5" t="str">
        <f>VLOOKUP($K181,CHURN!$A$2:$E$302,4,FALSE)</f>
        <v>Ativo</v>
      </c>
      <c r="I181" s="11">
        <f t="shared" si="6"/>
        <v>0.35250169124611014</v>
      </c>
      <c r="J181" s="14" t="str">
        <f t="shared" si="7"/>
        <v>Médio valor</v>
      </c>
      <c r="K181" t="str">
        <f t="shared" si="8"/>
        <v>AD2025-04</v>
      </c>
      <c r="L181" s="5"/>
    </row>
    <row r="182" spans="2:12" x14ac:dyDescent="0.35">
      <c r="B182" s="5" t="s">
        <v>45</v>
      </c>
      <c r="C182" s="5" t="str">
        <f>VLOOKUP(B182,Tabela4[],2,FALSE)</f>
        <v>Grande</v>
      </c>
      <c r="D182" s="12" t="str">
        <f>VLOOKUP(B182,Tabela4[],3,FALSE)</f>
        <v>São Paulo</v>
      </c>
      <c r="E182" s="16" t="s">
        <v>69</v>
      </c>
      <c r="F182" s="13">
        <f>VLOOKUP($K182,'FATURAMENTO '!$B$2:$F$302,4,FALSE)</f>
        <v>40885</v>
      </c>
      <c r="G182" s="13">
        <f>VLOOKUP($K182,'FATURAMENTO '!$B$2:$F$302,5,FALSE)</f>
        <v>25475.49</v>
      </c>
      <c r="H182" s="5" t="str">
        <f>VLOOKUP($K182,CHURN!$A$2:$E$302,4,FALSE)</f>
        <v>Ativo</v>
      </c>
      <c r="I182" s="11">
        <f t="shared" si="6"/>
        <v>0.37689886266356848</v>
      </c>
      <c r="J182" s="14" t="str">
        <f t="shared" si="7"/>
        <v>Médio valor</v>
      </c>
      <c r="K182" t="str">
        <f t="shared" si="8"/>
        <v>AD2025-05</v>
      </c>
      <c r="L182" s="5"/>
    </row>
    <row r="183" spans="2:12" x14ac:dyDescent="0.35">
      <c r="B183" s="5" t="s">
        <v>46</v>
      </c>
      <c r="C183" s="5" t="str">
        <f>VLOOKUP(B183,Tabela4[],2,FALSE)</f>
        <v>Grande</v>
      </c>
      <c r="D183" s="12" t="str">
        <f>VLOOKUP(B183,Tabela4[],3,FALSE)</f>
        <v>Pernambuco</v>
      </c>
      <c r="E183" s="16" t="s">
        <v>6</v>
      </c>
      <c r="F183" s="13">
        <f>VLOOKUP($K183,'FATURAMENTO '!$B$2:$F$302,4,FALSE)</f>
        <v>31309</v>
      </c>
      <c r="G183" s="13">
        <f>VLOOKUP($K183,'FATURAMENTO '!$B$2:$F$302,5,FALSE)</f>
        <v>17589.259999999998</v>
      </c>
      <c r="H183" s="5" t="str">
        <f>VLOOKUP($K183,CHURN!$A$2:$E$302,4,FALSE)</f>
        <v>Ativo</v>
      </c>
      <c r="I183" s="11">
        <f t="shared" si="6"/>
        <v>0.43820435018684728</v>
      </c>
      <c r="J183" s="14" t="str">
        <f t="shared" si="7"/>
        <v>Médio valor</v>
      </c>
      <c r="K183" t="str">
        <f t="shared" si="8"/>
        <v>AE2024-12</v>
      </c>
      <c r="L183" s="5"/>
    </row>
    <row r="184" spans="2:12" x14ac:dyDescent="0.35">
      <c r="B184" s="5" t="s">
        <v>46</v>
      </c>
      <c r="C184" s="5" t="str">
        <f>VLOOKUP(B184,Tabela4[],2,FALSE)</f>
        <v>Grande</v>
      </c>
      <c r="D184" s="12" t="str">
        <f>VLOOKUP(B184,Tabela4[],3,FALSE)</f>
        <v>Pernambuco</v>
      </c>
      <c r="E184" s="16" t="s">
        <v>66</v>
      </c>
      <c r="F184" s="13">
        <f>VLOOKUP($K184,'FATURAMENTO '!$B$2:$F$302,4,FALSE)</f>
        <v>45790</v>
      </c>
      <c r="G184" s="13">
        <f>VLOOKUP($K184,'FATURAMENTO '!$B$2:$F$302,5,FALSE)</f>
        <v>26250.04</v>
      </c>
      <c r="H184" s="5" t="str">
        <f>VLOOKUP($K184,CHURN!$A$2:$E$302,4,FALSE)</f>
        <v>Ativo</v>
      </c>
      <c r="I184" s="11">
        <f t="shared" si="6"/>
        <v>0.42672985367984273</v>
      </c>
      <c r="J184" s="14" t="str">
        <f t="shared" si="7"/>
        <v>Médio valor</v>
      </c>
      <c r="K184" t="str">
        <f t="shared" si="8"/>
        <v>AE2025-01</v>
      </c>
      <c r="L184" s="5"/>
    </row>
    <row r="185" spans="2:12" x14ac:dyDescent="0.35">
      <c r="B185" s="5" t="s">
        <v>46</v>
      </c>
      <c r="C185" s="5" t="str">
        <f>VLOOKUP(B185,Tabela4[],2,FALSE)</f>
        <v>Grande</v>
      </c>
      <c r="D185" s="12" t="str">
        <f>VLOOKUP(B185,Tabela4[],3,FALSE)</f>
        <v>Pernambuco</v>
      </c>
      <c r="E185" s="16" t="s">
        <v>67</v>
      </c>
      <c r="F185" s="13">
        <f>VLOOKUP($K185,'FATURAMENTO '!$B$2:$F$302,4,FALSE)</f>
        <v>21228</v>
      </c>
      <c r="G185" s="13">
        <f>VLOOKUP($K185,'FATURAMENTO '!$B$2:$F$302,5,FALSE)</f>
        <v>12613.07</v>
      </c>
      <c r="H185" s="5" t="str">
        <f>VLOOKUP($K185,CHURN!$A$2:$E$302,4,FALSE)</f>
        <v>Ativo</v>
      </c>
      <c r="I185" s="11">
        <f t="shared" si="6"/>
        <v>0.40582862257395891</v>
      </c>
      <c r="J185" s="14" t="str">
        <f t="shared" si="7"/>
        <v>Médio valor</v>
      </c>
      <c r="K185" t="str">
        <f t="shared" si="8"/>
        <v>AE2025-02</v>
      </c>
      <c r="L185" s="5"/>
    </row>
    <row r="186" spans="2:12" x14ac:dyDescent="0.35">
      <c r="B186" s="5" t="s">
        <v>46</v>
      </c>
      <c r="C186" s="5" t="str">
        <f>VLOOKUP(B186,Tabela4[],2,FALSE)</f>
        <v>Grande</v>
      </c>
      <c r="D186" s="12" t="str">
        <f>VLOOKUP(B186,Tabela4[],3,FALSE)</f>
        <v>Pernambuco</v>
      </c>
      <c r="E186" s="16" t="s">
        <v>88</v>
      </c>
      <c r="F186" s="13">
        <f>VLOOKUP($K186,'FATURAMENTO '!$B$2:$F$302,4,FALSE)</f>
        <v>26281</v>
      </c>
      <c r="G186" s="13">
        <f>VLOOKUP($K186,'FATURAMENTO '!$B$2:$F$302,5,FALSE)</f>
        <v>17326.93</v>
      </c>
      <c r="H186" s="5" t="str">
        <f>VLOOKUP($K186,CHURN!$A$2:$E$302,4,FALSE)</f>
        <v>Ativo</v>
      </c>
      <c r="I186" s="11">
        <f t="shared" si="6"/>
        <v>0.34070507210532325</v>
      </c>
      <c r="J186" s="14" t="str">
        <f t="shared" si="7"/>
        <v>Médio valor</v>
      </c>
      <c r="K186" t="str">
        <f t="shared" si="8"/>
        <v>AE2025-03</v>
      </c>
      <c r="L186" s="5"/>
    </row>
    <row r="187" spans="2:12" x14ac:dyDescent="0.35">
      <c r="B187" s="5" t="s">
        <v>46</v>
      </c>
      <c r="C187" s="5" t="str">
        <f>VLOOKUP(B187,Tabela4[],2,FALSE)</f>
        <v>Grande</v>
      </c>
      <c r="D187" s="12" t="str">
        <f>VLOOKUP(B187,Tabela4[],3,FALSE)</f>
        <v>Pernambuco</v>
      </c>
      <c r="E187" s="16" t="s">
        <v>68</v>
      </c>
      <c r="F187" s="13">
        <f>VLOOKUP($K187,'FATURAMENTO '!$B$2:$F$302,4,FALSE)</f>
        <v>48670</v>
      </c>
      <c r="G187" s="13">
        <f>VLOOKUP($K187,'FATURAMENTO '!$B$2:$F$302,5,FALSE)</f>
        <v>31177.5</v>
      </c>
      <c r="H187" s="5" t="str">
        <f>VLOOKUP($K187,CHURN!$A$2:$E$302,4,FALSE)</f>
        <v>Ativo</v>
      </c>
      <c r="I187" s="11">
        <f t="shared" si="6"/>
        <v>0.35941031436203003</v>
      </c>
      <c r="J187" s="14" t="str">
        <f t="shared" si="7"/>
        <v>Médio valor</v>
      </c>
      <c r="K187" t="str">
        <f t="shared" si="8"/>
        <v>AE2025-04</v>
      </c>
      <c r="L187" s="5"/>
    </row>
    <row r="188" spans="2:12" x14ac:dyDescent="0.35">
      <c r="B188" s="5" t="s">
        <v>46</v>
      </c>
      <c r="C188" s="5" t="str">
        <f>VLOOKUP(B188,Tabela4[],2,FALSE)</f>
        <v>Grande</v>
      </c>
      <c r="D188" s="12" t="str">
        <f>VLOOKUP(B188,Tabela4[],3,FALSE)</f>
        <v>Pernambuco</v>
      </c>
      <c r="E188" s="16" t="s">
        <v>69</v>
      </c>
      <c r="F188" s="13">
        <f>VLOOKUP($K188,'FATURAMENTO '!$B$2:$F$302,4,FALSE)</f>
        <v>9641</v>
      </c>
      <c r="G188" s="13">
        <f>VLOOKUP($K188,'FATURAMENTO '!$B$2:$F$302,5,FALSE)</f>
        <v>5233.71</v>
      </c>
      <c r="H188" s="5" t="str">
        <f>VLOOKUP($K188,CHURN!$A$2:$E$302,4,FALSE)</f>
        <v>Ativo</v>
      </c>
      <c r="I188" s="11">
        <f t="shared" si="6"/>
        <v>0.45714033813919719</v>
      </c>
      <c r="J188" s="14" t="str">
        <f t="shared" si="7"/>
        <v>Médio valor</v>
      </c>
      <c r="K188" t="str">
        <f t="shared" si="8"/>
        <v>AE2025-05</v>
      </c>
      <c r="L188" s="5"/>
    </row>
    <row r="189" spans="2:12" x14ac:dyDescent="0.35">
      <c r="B189" s="5" t="s">
        <v>47</v>
      </c>
      <c r="C189" s="5" t="str">
        <f>VLOOKUP(B189,Tabela4[],2,FALSE)</f>
        <v>Grande</v>
      </c>
      <c r="D189" s="12" t="str">
        <f>VLOOKUP(B189,Tabela4[],3,FALSE)</f>
        <v>Pernambuco</v>
      </c>
      <c r="E189" s="16" t="s">
        <v>6</v>
      </c>
      <c r="F189" s="13">
        <f>VLOOKUP($K189,'FATURAMENTO '!$B$2:$F$302,4,FALSE)</f>
        <v>41093</v>
      </c>
      <c r="G189" s="13">
        <f>VLOOKUP($K189,'FATURAMENTO '!$B$2:$F$302,5,FALSE)</f>
        <v>21922.26</v>
      </c>
      <c r="H189" s="5" t="str">
        <f>VLOOKUP($K189,CHURN!$A$2:$E$302,4,FALSE)</f>
        <v>Ativo</v>
      </c>
      <c r="I189" s="11">
        <f t="shared" si="6"/>
        <v>0.46652081863091044</v>
      </c>
      <c r="J189" s="14" t="str">
        <f t="shared" si="7"/>
        <v>Médio valor</v>
      </c>
      <c r="K189" t="str">
        <f t="shared" si="8"/>
        <v>AF2024-12</v>
      </c>
      <c r="L189" s="5"/>
    </row>
    <row r="190" spans="2:12" x14ac:dyDescent="0.35">
      <c r="B190" s="5" t="s">
        <v>47</v>
      </c>
      <c r="C190" s="5" t="str">
        <f>VLOOKUP(B190,Tabela4[],2,FALSE)</f>
        <v>Grande</v>
      </c>
      <c r="D190" s="12" t="str">
        <f>VLOOKUP(B190,Tabela4[],3,FALSE)</f>
        <v>Pernambuco</v>
      </c>
      <c r="E190" s="16" t="s">
        <v>66</v>
      </c>
      <c r="F190" s="13">
        <f>VLOOKUP($K190,'FATURAMENTO '!$B$2:$F$302,4,FALSE)</f>
        <v>33173</v>
      </c>
      <c r="G190" s="13">
        <f>VLOOKUP($K190,'FATURAMENTO '!$B$2:$F$302,5,FALSE)</f>
        <v>20052.14</v>
      </c>
      <c r="H190" s="5" t="str">
        <f>VLOOKUP($K190,CHURN!$A$2:$E$302,4,FALSE)</f>
        <v>Ativo</v>
      </c>
      <c r="I190" s="11">
        <f t="shared" si="6"/>
        <v>0.3955282910800953</v>
      </c>
      <c r="J190" s="14" t="str">
        <f t="shared" si="7"/>
        <v>Médio valor</v>
      </c>
      <c r="K190" t="str">
        <f t="shared" si="8"/>
        <v>AF2025-01</v>
      </c>
      <c r="L190" s="5"/>
    </row>
    <row r="191" spans="2:12" x14ac:dyDescent="0.35">
      <c r="B191" s="5" t="s">
        <v>47</v>
      </c>
      <c r="C191" s="5" t="str">
        <f>VLOOKUP(B191,Tabela4[],2,FALSE)</f>
        <v>Grande</v>
      </c>
      <c r="D191" s="12" t="str">
        <f>VLOOKUP(B191,Tabela4[],3,FALSE)</f>
        <v>Pernambuco</v>
      </c>
      <c r="E191" s="16" t="s">
        <v>67</v>
      </c>
      <c r="F191" s="13">
        <f>VLOOKUP($K191,'FATURAMENTO '!$B$2:$F$302,4,FALSE)</f>
        <v>18640</v>
      </c>
      <c r="G191" s="13">
        <f>VLOOKUP($K191,'FATURAMENTO '!$B$2:$F$302,5,FALSE)</f>
        <v>14768.53</v>
      </c>
      <c r="H191" s="5" t="str">
        <f>VLOOKUP($K191,CHURN!$A$2:$E$302,4,FALSE)</f>
        <v>Cancelado</v>
      </c>
      <c r="I191" s="11">
        <f t="shared" si="6"/>
        <v>0.20769688841201714</v>
      </c>
      <c r="J191" s="14" t="str">
        <f t="shared" si="7"/>
        <v>Médio valor</v>
      </c>
      <c r="K191" t="str">
        <f t="shared" si="8"/>
        <v>AF2025-02</v>
      </c>
      <c r="L191" s="5"/>
    </row>
    <row r="192" spans="2:12" x14ac:dyDescent="0.35">
      <c r="B192" s="5" t="s">
        <v>47</v>
      </c>
      <c r="C192" s="5" t="str">
        <f>VLOOKUP(B192,Tabela4[],2,FALSE)</f>
        <v>Grande</v>
      </c>
      <c r="D192" s="12" t="str">
        <f>VLOOKUP(B192,Tabela4[],3,FALSE)</f>
        <v>Pernambuco</v>
      </c>
      <c r="E192" s="16" t="s">
        <v>88</v>
      </c>
      <c r="F192" s="13">
        <f>VLOOKUP($K192,'FATURAMENTO '!$B$2:$F$302,4,FALSE)</f>
        <v>48010</v>
      </c>
      <c r="G192" s="13">
        <f>VLOOKUP($K192,'FATURAMENTO '!$B$2:$F$302,5,FALSE)</f>
        <v>27199.53</v>
      </c>
      <c r="H192" s="5" t="str">
        <f>VLOOKUP($K192,CHURN!$A$2:$E$302,4,FALSE)</f>
        <v>Ativo</v>
      </c>
      <c r="I192" s="11">
        <f t="shared" si="6"/>
        <v>0.43346115392626539</v>
      </c>
      <c r="J192" s="14" t="str">
        <f t="shared" si="7"/>
        <v>Médio valor</v>
      </c>
      <c r="K192" t="str">
        <f t="shared" si="8"/>
        <v>AF2025-03</v>
      </c>
      <c r="L192" s="5"/>
    </row>
    <row r="193" spans="2:12" x14ac:dyDescent="0.35">
      <c r="B193" s="5" t="s">
        <v>47</v>
      </c>
      <c r="C193" s="5" t="str">
        <f>VLOOKUP(B193,Tabela4[],2,FALSE)</f>
        <v>Grande</v>
      </c>
      <c r="D193" s="12" t="str">
        <f>VLOOKUP(B193,Tabela4[],3,FALSE)</f>
        <v>Pernambuco</v>
      </c>
      <c r="E193" s="16" t="s">
        <v>68</v>
      </c>
      <c r="F193" s="13">
        <f>VLOOKUP($K193,'FATURAMENTO '!$B$2:$F$302,4,FALSE)</f>
        <v>29485</v>
      </c>
      <c r="G193" s="13">
        <f>VLOOKUP($K193,'FATURAMENTO '!$B$2:$F$302,5,FALSE)</f>
        <v>19892.98</v>
      </c>
      <c r="H193" s="5" t="str">
        <f>VLOOKUP($K193,CHURN!$A$2:$E$302,4,FALSE)</f>
        <v>Ativo</v>
      </c>
      <c r="I193" s="11">
        <f t="shared" si="6"/>
        <v>0.32531863659487875</v>
      </c>
      <c r="J193" s="14" t="str">
        <f t="shared" si="7"/>
        <v>Médio valor</v>
      </c>
      <c r="K193" t="str">
        <f t="shared" si="8"/>
        <v>AF2025-04</v>
      </c>
      <c r="L193" s="5"/>
    </row>
    <row r="194" spans="2:12" x14ac:dyDescent="0.35">
      <c r="B194" s="5" t="s">
        <v>47</v>
      </c>
      <c r="C194" s="5" t="str">
        <f>VLOOKUP(B194,Tabela4[],2,FALSE)</f>
        <v>Grande</v>
      </c>
      <c r="D194" s="12" t="str">
        <f>VLOOKUP(B194,Tabela4[],3,FALSE)</f>
        <v>Pernambuco</v>
      </c>
      <c r="E194" s="16" t="s">
        <v>69</v>
      </c>
      <c r="F194" s="13">
        <f>VLOOKUP($K194,'FATURAMENTO '!$B$2:$F$302,4,FALSE)</f>
        <v>34752</v>
      </c>
      <c r="G194" s="13">
        <f>VLOOKUP($K194,'FATURAMENTO '!$B$2:$F$302,5,FALSE)</f>
        <v>22927.79</v>
      </c>
      <c r="H194" s="5" t="str">
        <f>VLOOKUP($K194,CHURN!$A$2:$E$302,4,FALSE)</f>
        <v>Ativo</v>
      </c>
      <c r="I194" s="11">
        <f t="shared" si="6"/>
        <v>0.34024545349907914</v>
      </c>
      <c r="J194" s="14" t="str">
        <f t="shared" si="7"/>
        <v>Médio valor</v>
      </c>
      <c r="K194" t="str">
        <f t="shared" si="8"/>
        <v>AF2025-05</v>
      </c>
      <c r="L194" s="5"/>
    </row>
    <row r="195" spans="2:12" x14ac:dyDescent="0.35">
      <c r="B195" s="5" t="s">
        <v>48</v>
      </c>
      <c r="C195" s="5" t="str">
        <f>VLOOKUP(B195,Tabela4[],2,FALSE)</f>
        <v>Grande</v>
      </c>
      <c r="D195" s="12" t="str">
        <f>VLOOKUP(B195,Tabela4[],3,FALSE)</f>
        <v>Paraná</v>
      </c>
      <c r="E195" s="16" t="s">
        <v>6</v>
      </c>
      <c r="F195" s="13">
        <f>VLOOKUP($K195,'FATURAMENTO '!$B$2:$F$302,4,FALSE)</f>
        <v>40656</v>
      </c>
      <c r="G195" s="13">
        <f>VLOOKUP($K195,'FATURAMENTO '!$B$2:$F$302,5,FALSE)</f>
        <v>22704.400000000001</v>
      </c>
      <c r="H195" s="5" t="str">
        <f>VLOOKUP($K195,CHURN!$A$2:$E$302,4,FALSE)</f>
        <v>Ativo</v>
      </c>
      <c r="I195" s="11">
        <f t="shared" si="6"/>
        <v>0.44154860291223924</v>
      </c>
      <c r="J195" s="14" t="str">
        <f t="shared" si="7"/>
        <v>Médio valor</v>
      </c>
      <c r="K195" t="str">
        <f t="shared" si="8"/>
        <v>AG2024-12</v>
      </c>
      <c r="L195" s="5"/>
    </row>
    <row r="196" spans="2:12" x14ac:dyDescent="0.35">
      <c r="B196" s="5" t="s">
        <v>48</v>
      </c>
      <c r="C196" s="5" t="str">
        <f>VLOOKUP(B196,Tabela4[],2,FALSE)</f>
        <v>Grande</v>
      </c>
      <c r="D196" s="12" t="str">
        <f>VLOOKUP(B196,Tabela4[],3,FALSE)</f>
        <v>Paraná</v>
      </c>
      <c r="E196" s="16" t="s">
        <v>66</v>
      </c>
      <c r="F196" s="13">
        <f>VLOOKUP($K196,'FATURAMENTO '!$B$2:$F$302,4,FALSE)</f>
        <v>24304</v>
      </c>
      <c r="G196" s="13">
        <f>VLOOKUP($K196,'FATURAMENTO '!$B$2:$F$302,5,FALSE)</f>
        <v>13621.69</v>
      </c>
      <c r="H196" s="5" t="str">
        <f>VLOOKUP($K196,CHURN!$A$2:$E$302,4,FALSE)</f>
        <v>Ativo</v>
      </c>
      <c r="I196" s="11">
        <f t="shared" ref="I196:I259" si="9">(F196-G196)/F196</f>
        <v>0.43952888413429886</v>
      </c>
      <c r="J196" s="14" t="str">
        <f t="shared" ref="J196:J259" si="10">IF(INDEX($I$3:$I$302,MATCH(B196,$B$3:$B$302,0))&gt;50%,"Alto valor",IF(INDEX($I$3:$I$302,MATCH(B196,$B$3:$B$302,0))&gt;=30%,"Médio valor","Baixo valor"))</f>
        <v>Médio valor</v>
      </c>
      <c r="K196" t="str">
        <f t="shared" ref="K196:K259" si="11">CONCATENATE(B196,E196)</f>
        <v>AG2025-01</v>
      </c>
      <c r="L196" s="5"/>
    </row>
    <row r="197" spans="2:12" x14ac:dyDescent="0.35">
      <c r="B197" s="5" t="s">
        <v>48</v>
      </c>
      <c r="C197" s="5" t="str">
        <f>VLOOKUP(B197,Tabela4[],2,FALSE)</f>
        <v>Grande</v>
      </c>
      <c r="D197" s="12" t="str">
        <f>VLOOKUP(B197,Tabela4[],3,FALSE)</f>
        <v>Paraná</v>
      </c>
      <c r="E197" s="16" t="s">
        <v>67</v>
      </c>
      <c r="F197" s="13">
        <f>VLOOKUP($K197,'FATURAMENTO '!$B$2:$F$302,4,FALSE)</f>
        <v>37193</v>
      </c>
      <c r="G197" s="13">
        <f>VLOOKUP($K197,'FATURAMENTO '!$B$2:$F$302,5,FALSE)</f>
        <v>20562.38</v>
      </c>
      <c r="H197" s="5" t="str">
        <f>VLOOKUP($K197,CHURN!$A$2:$E$302,4,FALSE)</f>
        <v>Ativo</v>
      </c>
      <c r="I197" s="11">
        <f t="shared" si="9"/>
        <v>0.44714381738499176</v>
      </c>
      <c r="J197" s="14" t="str">
        <f t="shared" si="10"/>
        <v>Médio valor</v>
      </c>
      <c r="K197" t="str">
        <f t="shared" si="11"/>
        <v>AG2025-02</v>
      </c>
      <c r="L197" s="5"/>
    </row>
    <row r="198" spans="2:12" x14ac:dyDescent="0.35">
      <c r="B198" s="5" t="s">
        <v>48</v>
      </c>
      <c r="C198" s="5" t="str">
        <f>VLOOKUP(B198,Tabela4[],2,FALSE)</f>
        <v>Grande</v>
      </c>
      <c r="D198" s="12" t="str">
        <f>VLOOKUP(B198,Tabela4[],3,FALSE)</f>
        <v>Paraná</v>
      </c>
      <c r="E198" s="16" t="s">
        <v>88</v>
      </c>
      <c r="F198" s="13">
        <f>VLOOKUP($K198,'FATURAMENTO '!$B$2:$F$302,4,FALSE)</f>
        <v>21609</v>
      </c>
      <c r="G198" s="13">
        <f>VLOOKUP($K198,'FATURAMENTO '!$B$2:$F$302,5,FALSE)</f>
        <v>17177.59</v>
      </c>
      <c r="H198" s="5" t="str">
        <f>VLOOKUP($K198,CHURN!$A$2:$E$302,4,FALSE)</f>
        <v>Ativo</v>
      </c>
      <c r="I198" s="11">
        <f t="shared" si="9"/>
        <v>0.20507242352723401</v>
      </c>
      <c r="J198" s="14" t="str">
        <f t="shared" si="10"/>
        <v>Médio valor</v>
      </c>
      <c r="K198" t="str">
        <f t="shared" si="11"/>
        <v>AG2025-03</v>
      </c>
      <c r="L198" s="5"/>
    </row>
    <row r="199" spans="2:12" x14ac:dyDescent="0.35">
      <c r="B199" s="5" t="s">
        <v>48</v>
      </c>
      <c r="C199" s="5" t="str">
        <f>VLOOKUP(B199,Tabela4[],2,FALSE)</f>
        <v>Grande</v>
      </c>
      <c r="D199" s="12" t="str">
        <f>VLOOKUP(B199,Tabela4[],3,FALSE)</f>
        <v>Paraná</v>
      </c>
      <c r="E199" s="16" t="s">
        <v>68</v>
      </c>
      <c r="F199" s="13">
        <f>VLOOKUP($K199,'FATURAMENTO '!$B$2:$F$302,4,FALSE)</f>
        <v>43085</v>
      </c>
      <c r="G199" s="13">
        <f>VLOOKUP($K199,'FATURAMENTO '!$B$2:$F$302,5,FALSE)</f>
        <v>33285.85</v>
      </c>
      <c r="H199" s="5" t="str">
        <f>VLOOKUP($K199,CHURN!$A$2:$E$302,4,FALSE)</f>
        <v>Ativo</v>
      </c>
      <c r="I199" s="11">
        <f t="shared" si="9"/>
        <v>0.22743762330277362</v>
      </c>
      <c r="J199" s="14" t="str">
        <f t="shared" si="10"/>
        <v>Médio valor</v>
      </c>
      <c r="K199" t="str">
        <f t="shared" si="11"/>
        <v>AG2025-04</v>
      </c>
      <c r="L199" s="5"/>
    </row>
    <row r="200" spans="2:12" x14ac:dyDescent="0.35">
      <c r="B200" s="5" t="s">
        <v>48</v>
      </c>
      <c r="C200" s="5" t="str">
        <f>VLOOKUP(B200,Tabela4[],2,FALSE)</f>
        <v>Grande</v>
      </c>
      <c r="D200" s="12" t="str">
        <f>VLOOKUP(B200,Tabela4[],3,FALSE)</f>
        <v>Paraná</v>
      </c>
      <c r="E200" s="16" t="s">
        <v>69</v>
      </c>
      <c r="F200" s="13">
        <f>VLOOKUP($K200,'FATURAMENTO '!$B$2:$F$302,4,FALSE)</f>
        <v>11558</v>
      </c>
      <c r="G200" s="13">
        <f>VLOOKUP($K200,'FATURAMENTO '!$B$2:$F$302,5,FALSE)</f>
        <v>6060.8</v>
      </c>
      <c r="H200" s="5" t="str">
        <f>VLOOKUP($K200,CHURN!$A$2:$E$302,4,FALSE)</f>
        <v>Ativo</v>
      </c>
      <c r="I200" s="11">
        <f t="shared" si="9"/>
        <v>0.4756186191382592</v>
      </c>
      <c r="J200" s="14" t="str">
        <f t="shared" si="10"/>
        <v>Médio valor</v>
      </c>
      <c r="K200" t="str">
        <f t="shared" si="11"/>
        <v>AG2025-05</v>
      </c>
      <c r="L200" s="5"/>
    </row>
    <row r="201" spans="2:12" x14ac:dyDescent="0.35">
      <c r="B201" s="5" t="s">
        <v>49</v>
      </c>
      <c r="C201" s="5" t="str">
        <f>VLOOKUP(B201,Tabela4[],2,FALSE)</f>
        <v>Média</v>
      </c>
      <c r="D201" s="12" t="str">
        <f>VLOOKUP(B201,Tabela4[],3,FALSE)</f>
        <v>Pernambuco</v>
      </c>
      <c r="E201" s="16" t="s">
        <v>6</v>
      </c>
      <c r="F201" s="13">
        <f>VLOOKUP($K201,'FATURAMENTO '!$B$2:$F$302,4,FALSE)</f>
        <v>16766</v>
      </c>
      <c r="G201" s="13">
        <f>VLOOKUP($K201,'FATURAMENTO '!$B$2:$F$302,5,FALSE)</f>
        <v>8582.17</v>
      </c>
      <c r="H201" s="5" t="str">
        <f>VLOOKUP($K201,CHURN!$A$2:$E$302,4,FALSE)</f>
        <v>Ativo</v>
      </c>
      <c r="I201" s="11">
        <f t="shared" si="9"/>
        <v>0.48812060121674816</v>
      </c>
      <c r="J201" s="14" t="str">
        <f t="shared" si="10"/>
        <v>Médio valor</v>
      </c>
      <c r="K201" t="str">
        <f t="shared" si="11"/>
        <v>AH2024-12</v>
      </c>
      <c r="L201" s="5"/>
    </row>
    <row r="202" spans="2:12" x14ac:dyDescent="0.35">
      <c r="B202" s="5" t="s">
        <v>49</v>
      </c>
      <c r="C202" s="5" t="str">
        <f>VLOOKUP(B202,Tabela4[],2,FALSE)</f>
        <v>Média</v>
      </c>
      <c r="D202" s="12" t="str">
        <f>VLOOKUP(B202,Tabela4[],3,FALSE)</f>
        <v>Pernambuco</v>
      </c>
      <c r="E202" s="16" t="s">
        <v>66</v>
      </c>
      <c r="F202" s="13">
        <f>VLOOKUP($K202,'FATURAMENTO '!$B$2:$F$302,4,FALSE)</f>
        <v>23489</v>
      </c>
      <c r="G202" s="13">
        <f>VLOOKUP($K202,'FATURAMENTO '!$B$2:$F$302,5,FALSE)</f>
        <v>15820.6</v>
      </c>
      <c r="H202" s="5" t="str">
        <f>VLOOKUP($K202,CHURN!$A$2:$E$302,4,FALSE)</f>
        <v>Ativo</v>
      </c>
      <c r="I202" s="11">
        <f t="shared" si="9"/>
        <v>0.3264677082889863</v>
      </c>
      <c r="J202" s="14" t="str">
        <f t="shared" si="10"/>
        <v>Médio valor</v>
      </c>
      <c r="K202" t="str">
        <f t="shared" si="11"/>
        <v>AH2025-01</v>
      </c>
      <c r="L202" s="5"/>
    </row>
    <row r="203" spans="2:12" x14ac:dyDescent="0.35">
      <c r="B203" s="5" t="s">
        <v>49</v>
      </c>
      <c r="C203" s="5" t="str">
        <f>VLOOKUP(B203,Tabela4[],2,FALSE)</f>
        <v>Média</v>
      </c>
      <c r="D203" s="12" t="str">
        <f>VLOOKUP(B203,Tabela4[],3,FALSE)</f>
        <v>Pernambuco</v>
      </c>
      <c r="E203" s="16" t="s">
        <v>67</v>
      </c>
      <c r="F203" s="13">
        <f>VLOOKUP($K203,'FATURAMENTO '!$B$2:$F$302,4,FALSE)</f>
        <v>39691</v>
      </c>
      <c r="G203" s="13">
        <f>VLOOKUP($K203,'FATURAMENTO '!$B$2:$F$302,5,FALSE)</f>
        <v>23553.52</v>
      </c>
      <c r="H203" s="5" t="str">
        <f>VLOOKUP($K203,CHURN!$A$2:$E$302,4,FALSE)</f>
        <v>Cancelado</v>
      </c>
      <c r="I203" s="11">
        <f t="shared" si="9"/>
        <v>0.40657781361013828</v>
      </c>
      <c r="J203" s="14" t="str">
        <f t="shared" si="10"/>
        <v>Médio valor</v>
      </c>
      <c r="K203" t="str">
        <f t="shared" si="11"/>
        <v>AH2025-02</v>
      </c>
      <c r="L203" s="5"/>
    </row>
    <row r="204" spans="2:12" x14ac:dyDescent="0.35">
      <c r="B204" s="5" t="s">
        <v>49</v>
      </c>
      <c r="C204" s="5" t="str">
        <f>VLOOKUP(B204,Tabela4[],2,FALSE)</f>
        <v>Média</v>
      </c>
      <c r="D204" s="12" t="str">
        <f>VLOOKUP(B204,Tabela4[],3,FALSE)</f>
        <v>Pernambuco</v>
      </c>
      <c r="E204" s="16" t="s">
        <v>88</v>
      </c>
      <c r="F204" s="13">
        <f>VLOOKUP($K204,'FATURAMENTO '!$B$2:$F$302,4,FALSE)</f>
        <v>31187</v>
      </c>
      <c r="G204" s="13">
        <f>VLOOKUP($K204,'FATURAMENTO '!$B$2:$F$302,5,FALSE)</f>
        <v>24444.18</v>
      </c>
      <c r="H204" s="5" t="str">
        <f>VLOOKUP($K204,CHURN!$A$2:$E$302,4,FALSE)</f>
        <v>Ativo</v>
      </c>
      <c r="I204" s="11">
        <f t="shared" si="9"/>
        <v>0.21620611152082597</v>
      </c>
      <c r="J204" s="14" t="str">
        <f t="shared" si="10"/>
        <v>Médio valor</v>
      </c>
      <c r="K204" t="str">
        <f t="shared" si="11"/>
        <v>AH2025-03</v>
      </c>
      <c r="L204" s="5"/>
    </row>
    <row r="205" spans="2:12" x14ac:dyDescent="0.35">
      <c r="B205" s="5" t="s">
        <v>49</v>
      </c>
      <c r="C205" s="5" t="str">
        <f>VLOOKUP(B205,Tabela4[],2,FALSE)</f>
        <v>Média</v>
      </c>
      <c r="D205" s="12" t="str">
        <f>VLOOKUP(B205,Tabela4[],3,FALSE)</f>
        <v>Pernambuco</v>
      </c>
      <c r="E205" s="16" t="s">
        <v>68</v>
      </c>
      <c r="F205" s="13">
        <f>VLOOKUP($K205,'FATURAMENTO '!$B$2:$F$302,4,FALSE)</f>
        <v>48779</v>
      </c>
      <c r="G205" s="13">
        <f>VLOOKUP($K205,'FATURAMENTO '!$B$2:$F$302,5,FALSE)</f>
        <v>25101.9</v>
      </c>
      <c r="H205" s="5" t="str">
        <f>VLOOKUP($K205,CHURN!$A$2:$E$302,4,FALSE)</f>
        <v>Ativo</v>
      </c>
      <c r="I205" s="11">
        <f t="shared" si="9"/>
        <v>0.48539535455831401</v>
      </c>
      <c r="J205" s="14" t="str">
        <f t="shared" si="10"/>
        <v>Médio valor</v>
      </c>
      <c r="K205" t="str">
        <f t="shared" si="11"/>
        <v>AH2025-04</v>
      </c>
      <c r="L205" s="5"/>
    </row>
    <row r="206" spans="2:12" x14ac:dyDescent="0.35">
      <c r="B206" s="5" t="s">
        <v>49</v>
      </c>
      <c r="C206" s="5" t="str">
        <f>VLOOKUP(B206,Tabela4[],2,FALSE)</f>
        <v>Média</v>
      </c>
      <c r="D206" s="12" t="str">
        <f>VLOOKUP(B206,Tabela4[],3,FALSE)</f>
        <v>Pernambuco</v>
      </c>
      <c r="E206" s="16" t="s">
        <v>69</v>
      </c>
      <c r="F206" s="13">
        <f>VLOOKUP($K206,'FATURAMENTO '!$B$2:$F$302,4,FALSE)</f>
        <v>23356</v>
      </c>
      <c r="G206" s="13">
        <f>VLOOKUP($K206,'FATURAMENTO '!$B$2:$F$302,5,FALSE)</f>
        <v>16493.52</v>
      </c>
      <c r="H206" s="5" t="str">
        <f>VLOOKUP($K206,CHURN!$A$2:$E$302,4,FALSE)</f>
        <v>Ativo</v>
      </c>
      <c r="I206" s="11">
        <f t="shared" si="9"/>
        <v>0.29382085973625621</v>
      </c>
      <c r="J206" s="14" t="str">
        <f t="shared" si="10"/>
        <v>Médio valor</v>
      </c>
      <c r="K206" t="str">
        <f t="shared" si="11"/>
        <v>AH2025-05</v>
      </c>
      <c r="L206" s="5"/>
    </row>
    <row r="207" spans="2:12" x14ac:dyDescent="0.35">
      <c r="B207" s="5" t="s">
        <v>50</v>
      </c>
      <c r="C207" s="5" t="str">
        <f>VLOOKUP(B207,Tabela4[],2,FALSE)</f>
        <v>Média</v>
      </c>
      <c r="D207" s="12" t="str">
        <f>VLOOKUP(B207,Tabela4[],3,FALSE)</f>
        <v>Pernambuco</v>
      </c>
      <c r="E207" s="16" t="s">
        <v>6</v>
      </c>
      <c r="F207" s="13">
        <f>VLOOKUP($K207,'FATURAMENTO '!$B$2:$F$302,4,FALSE)</f>
        <v>44167</v>
      </c>
      <c r="G207" s="13">
        <f>VLOOKUP($K207,'FATURAMENTO '!$B$2:$F$302,5,FALSE)</f>
        <v>31937.48</v>
      </c>
      <c r="H207" s="5" t="str">
        <f>VLOOKUP($K207,CHURN!$A$2:$E$302,4,FALSE)</f>
        <v>Ativo</v>
      </c>
      <c r="I207" s="11">
        <f t="shared" si="9"/>
        <v>0.27689270269658345</v>
      </c>
      <c r="J207" s="14" t="str">
        <f t="shared" si="10"/>
        <v>Baixo valor</v>
      </c>
      <c r="K207" t="str">
        <f t="shared" si="11"/>
        <v>AI2024-12</v>
      </c>
      <c r="L207" s="5"/>
    </row>
    <row r="208" spans="2:12" x14ac:dyDescent="0.35">
      <c r="B208" s="5" t="s">
        <v>50</v>
      </c>
      <c r="C208" s="5" t="str">
        <f>VLOOKUP(B208,Tabela4[],2,FALSE)</f>
        <v>Média</v>
      </c>
      <c r="D208" s="12" t="str">
        <f>VLOOKUP(B208,Tabela4[],3,FALSE)</f>
        <v>Pernambuco</v>
      </c>
      <c r="E208" s="16" t="s">
        <v>66</v>
      </c>
      <c r="F208" s="13">
        <f>VLOOKUP($K208,'FATURAMENTO '!$B$2:$F$302,4,FALSE)</f>
        <v>15485</v>
      </c>
      <c r="G208" s="13">
        <f>VLOOKUP($K208,'FATURAMENTO '!$B$2:$F$302,5,FALSE)</f>
        <v>9387.8700000000008</v>
      </c>
      <c r="H208" s="5" t="str">
        <f>VLOOKUP($K208,CHURN!$A$2:$E$302,4,FALSE)</f>
        <v>Ativo</v>
      </c>
      <c r="I208" s="11">
        <f t="shared" si="9"/>
        <v>0.39374426864707779</v>
      </c>
      <c r="J208" s="14" t="str">
        <f t="shared" si="10"/>
        <v>Baixo valor</v>
      </c>
      <c r="K208" t="str">
        <f t="shared" si="11"/>
        <v>AI2025-01</v>
      </c>
      <c r="L208" s="5"/>
    </row>
    <row r="209" spans="2:12" x14ac:dyDescent="0.35">
      <c r="B209" s="5" t="s">
        <v>50</v>
      </c>
      <c r="C209" s="5" t="str">
        <f>VLOOKUP(B209,Tabela4[],2,FALSE)</f>
        <v>Média</v>
      </c>
      <c r="D209" s="12" t="str">
        <f>VLOOKUP(B209,Tabela4[],3,FALSE)</f>
        <v>Pernambuco</v>
      </c>
      <c r="E209" s="16" t="s">
        <v>67</v>
      </c>
      <c r="F209" s="13">
        <f>VLOOKUP($K209,'FATURAMENTO '!$B$2:$F$302,4,FALSE)</f>
        <v>38762</v>
      </c>
      <c r="G209" s="13">
        <f>VLOOKUP($K209,'FATURAMENTO '!$B$2:$F$302,5,FALSE)</f>
        <v>19724.79</v>
      </c>
      <c r="H209" s="5" t="str">
        <f>VLOOKUP($K209,CHURN!$A$2:$E$302,4,FALSE)</f>
        <v>Cancelado</v>
      </c>
      <c r="I209" s="11">
        <f t="shared" si="9"/>
        <v>0.49113074660750217</v>
      </c>
      <c r="J209" s="14" t="str">
        <f t="shared" si="10"/>
        <v>Baixo valor</v>
      </c>
      <c r="K209" t="str">
        <f t="shared" si="11"/>
        <v>AI2025-02</v>
      </c>
      <c r="L209" s="5"/>
    </row>
    <row r="210" spans="2:12" x14ac:dyDescent="0.35">
      <c r="B210" s="5" t="s">
        <v>50</v>
      </c>
      <c r="C210" s="5" t="str">
        <f>VLOOKUP(B210,Tabela4[],2,FALSE)</f>
        <v>Média</v>
      </c>
      <c r="D210" s="12" t="str">
        <f>VLOOKUP(B210,Tabela4[],3,FALSE)</f>
        <v>Pernambuco</v>
      </c>
      <c r="E210" s="16" t="s">
        <v>88</v>
      </c>
      <c r="F210" s="13">
        <f>VLOOKUP($K210,'FATURAMENTO '!$B$2:$F$302,4,FALSE)</f>
        <v>16173</v>
      </c>
      <c r="G210" s="13">
        <f>VLOOKUP($K210,'FATURAMENTO '!$B$2:$F$302,5,FALSE)</f>
        <v>10475.1</v>
      </c>
      <c r="H210" s="5" t="str">
        <f>VLOOKUP($K210,CHURN!$A$2:$E$302,4,FALSE)</f>
        <v>Ativo</v>
      </c>
      <c r="I210" s="11">
        <f t="shared" si="9"/>
        <v>0.35230940456316079</v>
      </c>
      <c r="J210" s="14" t="str">
        <f t="shared" si="10"/>
        <v>Baixo valor</v>
      </c>
      <c r="K210" t="str">
        <f t="shared" si="11"/>
        <v>AI2025-03</v>
      </c>
      <c r="L210" s="5"/>
    </row>
    <row r="211" spans="2:12" x14ac:dyDescent="0.35">
      <c r="B211" s="5" t="s">
        <v>50</v>
      </c>
      <c r="C211" s="5" t="str">
        <f>VLOOKUP(B211,Tabela4[],2,FALSE)</f>
        <v>Média</v>
      </c>
      <c r="D211" s="12" t="str">
        <f>VLOOKUP(B211,Tabela4[],3,FALSE)</f>
        <v>Pernambuco</v>
      </c>
      <c r="E211" s="16" t="s">
        <v>68</v>
      </c>
      <c r="F211" s="13">
        <f>VLOOKUP($K211,'FATURAMENTO '!$B$2:$F$302,4,FALSE)</f>
        <v>6759</v>
      </c>
      <c r="G211" s="13">
        <f>VLOOKUP($K211,'FATURAMENTO '!$B$2:$F$302,5,FALSE)</f>
        <v>4409.12</v>
      </c>
      <c r="H211" s="5" t="str">
        <f>VLOOKUP($K211,CHURN!$A$2:$E$302,4,FALSE)</f>
        <v>Ativo</v>
      </c>
      <c r="I211" s="11">
        <f t="shared" si="9"/>
        <v>0.347666814617547</v>
      </c>
      <c r="J211" s="14" t="str">
        <f t="shared" si="10"/>
        <v>Baixo valor</v>
      </c>
      <c r="K211" t="str">
        <f t="shared" si="11"/>
        <v>AI2025-04</v>
      </c>
      <c r="L211" s="5"/>
    </row>
    <row r="212" spans="2:12" x14ac:dyDescent="0.35">
      <c r="B212" s="5" t="s">
        <v>50</v>
      </c>
      <c r="C212" s="5" t="str">
        <f>VLOOKUP(B212,Tabela4[],2,FALSE)</f>
        <v>Média</v>
      </c>
      <c r="D212" s="12" t="str">
        <f>VLOOKUP(B212,Tabela4[],3,FALSE)</f>
        <v>Pernambuco</v>
      </c>
      <c r="E212" s="16" t="s">
        <v>69</v>
      </c>
      <c r="F212" s="13">
        <f>VLOOKUP($K212,'FATURAMENTO '!$B$2:$F$302,4,FALSE)</f>
        <v>28458</v>
      </c>
      <c r="G212" s="13">
        <f>VLOOKUP($K212,'FATURAMENTO '!$B$2:$F$302,5,FALSE)</f>
        <v>20445.29</v>
      </c>
      <c r="H212" s="5" t="str">
        <f>VLOOKUP($K212,CHURN!$A$2:$E$302,4,FALSE)</f>
        <v>Ativo</v>
      </c>
      <c r="I212" s="11">
        <f t="shared" si="9"/>
        <v>0.28156265373532924</v>
      </c>
      <c r="J212" s="14" t="str">
        <f t="shared" si="10"/>
        <v>Baixo valor</v>
      </c>
      <c r="K212" t="str">
        <f t="shared" si="11"/>
        <v>AI2025-05</v>
      </c>
      <c r="L212" s="5"/>
    </row>
    <row r="213" spans="2:12" x14ac:dyDescent="0.35">
      <c r="B213" s="5" t="s">
        <v>51</v>
      </c>
      <c r="C213" s="5" t="str">
        <f>VLOOKUP(B213,Tabela4[],2,FALSE)</f>
        <v>Grande</v>
      </c>
      <c r="D213" s="12" t="str">
        <f>VLOOKUP(B213,Tabela4[],3,FALSE)</f>
        <v>São Paulo</v>
      </c>
      <c r="E213" s="16" t="s">
        <v>6</v>
      </c>
      <c r="F213" s="13">
        <f>VLOOKUP($K213,'FATURAMENTO '!$B$2:$F$302,4,FALSE)</f>
        <v>12535</v>
      </c>
      <c r="G213" s="13">
        <f>VLOOKUP($K213,'FATURAMENTO '!$B$2:$F$302,5,FALSE)</f>
        <v>7983.67</v>
      </c>
      <c r="H213" s="5" t="str">
        <f>VLOOKUP($K213,CHURN!$A$2:$E$302,4,FALSE)</f>
        <v>Ativo</v>
      </c>
      <c r="I213" s="11">
        <f t="shared" si="9"/>
        <v>0.36308974870362981</v>
      </c>
      <c r="J213" s="14" t="str">
        <f t="shared" si="10"/>
        <v>Médio valor</v>
      </c>
      <c r="K213" t="str">
        <f t="shared" si="11"/>
        <v>AJ2024-12</v>
      </c>
      <c r="L213" s="5"/>
    </row>
    <row r="214" spans="2:12" x14ac:dyDescent="0.35">
      <c r="B214" s="5" t="s">
        <v>51</v>
      </c>
      <c r="C214" s="5" t="str">
        <f>VLOOKUP(B214,Tabela4[],2,FALSE)</f>
        <v>Grande</v>
      </c>
      <c r="D214" s="12" t="str">
        <f>VLOOKUP(B214,Tabela4[],3,FALSE)</f>
        <v>São Paulo</v>
      </c>
      <c r="E214" s="16" t="s">
        <v>66</v>
      </c>
      <c r="F214" s="13">
        <f>VLOOKUP($K214,'FATURAMENTO '!$B$2:$F$302,4,FALSE)</f>
        <v>27318</v>
      </c>
      <c r="G214" s="13">
        <f>VLOOKUP($K214,'FATURAMENTO '!$B$2:$F$302,5,FALSE)</f>
        <v>16716.759999999998</v>
      </c>
      <c r="H214" s="5" t="str">
        <f>VLOOKUP($K214,CHURN!$A$2:$E$302,4,FALSE)</f>
        <v>Ativo</v>
      </c>
      <c r="I214" s="11">
        <f t="shared" si="9"/>
        <v>0.38806794055201704</v>
      </c>
      <c r="J214" s="14" t="str">
        <f t="shared" si="10"/>
        <v>Médio valor</v>
      </c>
      <c r="K214" t="str">
        <f t="shared" si="11"/>
        <v>AJ2025-01</v>
      </c>
      <c r="L214" s="5"/>
    </row>
    <row r="215" spans="2:12" x14ac:dyDescent="0.35">
      <c r="B215" s="5" t="s">
        <v>51</v>
      </c>
      <c r="C215" s="5" t="str">
        <f>VLOOKUP(B215,Tabela4[],2,FALSE)</f>
        <v>Grande</v>
      </c>
      <c r="D215" s="12" t="str">
        <f>VLOOKUP(B215,Tabela4[],3,FALSE)</f>
        <v>São Paulo</v>
      </c>
      <c r="E215" s="16" t="s">
        <v>67</v>
      </c>
      <c r="F215" s="13">
        <f>VLOOKUP($K215,'FATURAMENTO '!$B$2:$F$302,4,FALSE)</f>
        <v>40616</v>
      </c>
      <c r="G215" s="13">
        <f>VLOOKUP($K215,'FATURAMENTO '!$B$2:$F$302,5,FALSE)</f>
        <v>31661.94</v>
      </c>
      <c r="H215" s="5" t="str">
        <f>VLOOKUP($K215,CHURN!$A$2:$E$302,4,FALSE)</f>
        <v>Cancelado</v>
      </c>
      <c r="I215" s="11">
        <f t="shared" si="9"/>
        <v>0.22045647035650978</v>
      </c>
      <c r="J215" s="14" t="str">
        <f t="shared" si="10"/>
        <v>Médio valor</v>
      </c>
      <c r="K215" t="str">
        <f t="shared" si="11"/>
        <v>AJ2025-02</v>
      </c>
      <c r="L215" s="5"/>
    </row>
    <row r="216" spans="2:12" x14ac:dyDescent="0.35">
      <c r="B216" s="5" t="s">
        <v>51</v>
      </c>
      <c r="C216" s="5" t="str">
        <f>VLOOKUP(B216,Tabela4[],2,FALSE)</f>
        <v>Grande</v>
      </c>
      <c r="D216" s="12" t="str">
        <f>VLOOKUP(B216,Tabela4[],3,FALSE)</f>
        <v>São Paulo</v>
      </c>
      <c r="E216" s="16" t="s">
        <v>88</v>
      </c>
      <c r="F216" s="13">
        <f>VLOOKUP($K216,'FATURAMENTO '!$B$2:$F$302,4,FALSE)</f>
        <v>11782</v>
      </c>
      <c r="G216" s="13">
        <f>VLOOKUP($K216,'FATURAMENTO '!$B$2:$F$302,5,FALSE)</f>
        <v>8272.6299999999992</v>
      </c>
      <c r="H216" s="5" t="str">
        <f>VLOOKUP($K216,CHURN!$A$2:$E$302,4,FALSE)</f>
        <v>Ativo</v>
      </c>
      <c r="I216" s="11">
        <f t="shared" si="9"/>
        <v>0.29785859786114416</v>
      </c>
      <c r="J216" s="14" t="str">
        <f t="shared" si="10"/>
        <v>Médio valor</v>
      </c>
      <c r="K216" t="str">
        <f t="shared" si="11"/>
        <v>AJ2025-03</v>
      </c>
      <c r="L216" s="5"/>
    </row>
    <row r="217" spans="2:12" x14ac:dyDescent="0.35">
      <c r="B217" s="5" t="s">
        <v>51</v>
      </c>
      <c r="C217" s="5" t="str">
        <f>VLOOKUP(B217,Tabela4[],2,FALSE)</f>
        <v>Grande</v>
      </c>
      <c r="D217" s="12" t="str">
        <f>VLOOKUP(B217,Tabela4[],3,FALSE)</f>
        <v>São Paulo</v>
      </c>
      <c r="E217" s="16" t="s">
        <v>68</v>
      </c>
      <c r="F217" s="13">
        <f>VLOOKUP($K217,'FATURAMENTO '!$B$2:$F$302,4,FALSE)</f>
        <v>15728</v>
      </c>
      <c r="G217" s="13">
        <f>VLOOKUP($K217,'FATURAMENTO '!$B$2:$F$302,5,FALSE)</f>
        <v>9077.73</v>
      </c>
      <c r="H217" s="5" t="str">
        <f>VLOOKUP($K217,CHURN!$A$2:$E$302,4,FALSE)</f>
        <v>Ativo</v>
      </c>
      <c r="I217" s="11">
        <f t="shared" si="9"/>
        <v>0.42282998474059008</v>
      </c>
      <c r="J217" s="14" t="str">
        <f t="shared" si="10"/>
        <v>Médio valor</v>
      </c>
      <c r="K217" t="str">
        <f t="shared" si="11"/>
        <v>AJ2025-04</v>
      </c>
      <c r="L217" s="5"/>
    </row>
    <row r="218" spans="2:12" x14ac:dyDescent="0.35">
      <c r="B218" s="5" t="s">
        <v>51</v>
      </c>
      <c r="C218" s="5" t="str">
        <f>VLOOKUP(B218,Tabela4[],2,FALSE)</f>
        <v>Grande</v>
      </c>
      <c r="D218" s="12" t="str">
        <f>VLOOKUP(B218,Tabela4[],3,FALSE)</f>
        <v>São Paulo</v>
      </c>
      <c r="E218" s="16" t="s">
        <v>69</v>
      </c>
      <c r="F218" s="13">
        <f>VLOOKUP($K218,'FATURAMENTO '!$B$2:$F$302,4,FALSE)</f>
        <v>43830</v>
      </c>
      <c r="G218" s="13">
        <f>VLOOKUP($K218,'FATURAMENTO '!$B$2:$F$302,5,FALSE)</f>
        <v>29407.77</v>
      </c>
      <c r="H218" s="5" t="str">
        <f>VLOOKUP($K218,CHURN!$A$2:$E$302,4,FALSE)</f>
        <v>Ativo</v>
      </c>
      <c r="I218" s="11">
        <f t="shared" si="9"/>
        <v>0.32904928131416838</v>
      </c>
      <c r="J218" s="14" t="str">
        <f t="shared" si="10"/>
        <v>Médio valor</v>
      </c>
      <c r="K218" t="str">
        <f t="shared" si="11"/>
        <v>AJ2025-05</v>
      </c>
      <c r="L218" s="5"/>
    </row>
    <row r="219" spans="2:12" x14ac:dyDescent="0.35">
      <c r="B219" s="5" t="s">
        <v>52</v>
      </c>
      <c r="C219" s="5" t="str">
        <f>VLOOKUP(B219,Tabela4[],2,FALSE)</f>
        <v>Pequena</v>
      </c>
      <c r="D219" s="12" t="str">
        <f>VLOOKUP(B219,Tabela4[],3,FALSE)</f>
        <v>Rio Grande do Sul</v>
      </c>
      <c r="E219" s="16" t="s">
        <v>6</v>
      </c>
      <c r="F219" s="13">
        <f>VLOOKUP($K219,'FATURAMENTO '!$B$2:$F$302,4,FALSE)</f>
        <v>34278</v>
      </c>
      <c r="G219" s="13">
        <f>VLOOKUP($K219,'FATURAMENTO '!$B$2:$F$302,5,FALSE)</f>
        <v>26604.97</v>
      </c>
      <c r="H219" s="5" t="str">
        <f>VLOOKUP($K219,CHURN!$A$2:$E$302,4,FALSE)</f>
        <v>Ativo</v>
      </c>
      <c r="I219" s="11">
        <f t="shared" si="9"/>
        <v>0.22384707392496642</v>
      </c>
      <c r="J219" s="14" t="str">
        <f t="shared" si="10"/>
        <v>Baixo valor</v>
      </c>
      <c r="K219" t="str">
        <f t="shared" si="11"/>
        <v>AK2024-12</v>
      </c>
      <c r="L219" s="5"/>
    </row>
    <row r="220" spans="2:12" x14ac:dyDescent="0.35">
      <c r="B220" s="5" t="s">
        <v>52</v>
      </c>
      <c r="C220" s="5" t="str">
        <f>VLOOKUP(B220,Tabela4[],2,FALSE)</f>
        <v>Pequena</v>
      </c>
      <c r="D220" s="12" t="str">
        <f>VLOOKUP(B220,Tabela4[],3,FALSE)</f>
        <v>Rio Grande do Sul</v>
      </c>
      <c r="E220" s="16" t="s">
        <v>66</v>
      </c>
      <c r="F220" s="13">
        <f>VLOOKUP($K220,'FATURAMENTO '!$B$2:$F$302,4,FALSE)</f>
        <v>9274</v>
      </c>
      <c r="G220" s="13">
        <f>VLOOKUP($K220,'FATURAMENTO '!$B$2:$F$302,5,FALSE)</f>
        <v>6476.54</v>
      </c>
      <c r="H220" s="5" t="str">
        <f>VLOOKUP($K220,CHURN!$A$2:$E$302,4,FALSE)</f>
        <v>Ativo</v>
      </c>
      <c r="I220" s="11">
        <f t="shared" si="9"/>
        <v>0.30164546042700024</v>
      </c>
      <c r="J220" s="14" t="str">
        <f t="shared" si="10"/>
        <v>Baixo valor</v>
      </c>
      <c r="K220" t="str">
        <f t="shared" si="11"/>
        <v>AK2025-01</v>
      </c>
      <c r="L220" s="5"/>
    </row>
    <row r="221" spans="2:12" x14ac:dyDescent="0.35">
      <c r="B221" s="5" t="s">
        <v>52</v>
      </c>
      <c r="C221" s="5" t="str">
        <f>VLOOKUP(B221,Tabela4[],2,FALSE)</f>
        <v>Pequena</v>
      </c>
      <c r="D221" s="12" t="str">
        <f>VLOOKUP(B221,Tabela4[],3,FALSE)</f>
        <v>Rio Grande do Sul</v>
      </c>
      <c r="E221" s="16" t="s">
        <v>67</v>
      </c>
      <c r="F221" s="13">
        <f>VLOOKUP($K221,'FATURAMENTO '!$B$2:$F$302,4,FALSE)</f>
        <v>25990</v>
      </c>
      <c r="G221" s="13">
        <f>VLOOKUP($K221,'FATURAMENTO '!$B$2:$F$302,5,FALSE)</f>
        <v>18117.98</v>
      </c>
      <c r="H221" s="5" t="str">
        <f>VLOOKUP($K221,CHURN!$A$2:$E$302,4,FALSE)</f>
        <v>Ativo</v>
      </c>
      <c r="I221" s="11">
        <f t="shared" si="9"/>
        <v>0.30288649480569452</v>
      </c>
      <c r="J221" s="14" t="str">
        <f t="shared" si="10"/>
        <v>Baixo valor</v>
      </c>
      <c r="K221" t="str">
        <f t="shared" si="11"/>
        <v>AK2025-02</v>
      </c>
      <c r="L221" s="5"/>
    </row>
    <row r="222" spans="2:12" x14ac:dyDescent="0.35">
      <c r="B222" s="5" t="s">
        <v>52</v>
      </c>
      <c r="C222" s="5" t="str">
        <f>VLOOKUP(B222,Tabela4[],2,FALSE)</f>
        <v>Pequena</v>
      </c>
      <c r="D222" s="12" t="str">
        <f>VLOOKUP(B222,Tabela4[],3,FALSE)</f>
        <v>Rio Grande do Sul</v>
      </c>
      <c r="E222" s="16" t="s">
        <v>88</v>
      </c>
      <c r="F222" s="13">
        <f>VLOOKUP($K222,'FATURAMENTO '!$B$2:$F$302,4,FALSE)</f>
        <v>22422</v>
      </c>
      <c r="G222" s="13">
        <f>VLOOKUP($K222,'FATURAMENTO '!$B$2:$F$302,5,FALSE)</f>
        <v>15188.46</v>
      </c>
      <c r="H222" s="5" t="str">
        <f>VLOOKUP($K222,CHURN!$A$2:$E$302,4,FALSE)</f>
        <v>Cancelado</v>
      </c>
      <c r="I222" s="11">
        <f t="shared" si="9"/>
        <v>0.32260904468825263</v>
      </c>
      <c r="J222" s="14" t="str">
        <f t="shared" si="10"/>
        <v>Baixo valor</v>
      </c>
      <c r="K222" t="str">
        <f t="shared" si="11"/>
        <v>AK2025-03</v>
      </c>
      <c r="L222" s="5"/>
    </row>
    <row r="223" spans="2:12" x14ac:dyDescent="0.35">
      <c r="B223" s="5" t="s">
        <v>52</v>
      </c>
      <c r="C223" s="5" t="str">
        <f>VLOOKUP(B223,Tabela4[],2,FALSE)</f>
        <v>Pequena</v>
      </c>
      <c r="D223" s="12" t="str">
        <f>VLOOKUP(B223,Tabela4[],3,FALSE)</f>
        <v>Rio Grande do Sul</v>
      </c>
      <c r="E223" s="16" t="s">
        <v>68</v>
      </c>
      <c r="F223" s="13">
        <f>VLOOKUP($K223,'FATURAMENTO '!$B$2:$F$302,4,FALSE)</f>
        <v>49124</v>
      </c>
      <c r="G223" s="13">
        <f>VLOOKUP($K223,'FATURAMENTO '!$B$2:$F$302,5,FALSE)</f>
        <v>33639.35</v>
      </c>
      <c r="H223" s="5" t="str">
        <f>VLOOKUP($K223,CHURN!$A$2:$E$302,4,FALSE)</f>
        <v>Cancelado</v>
      </c>
      <c r="I223" s="11">
        <f t="shared" si="9"/>
        <v>0.31521557690741797</v>
      </c>
      <c r="J223" s="14" t="str">
        <f t="shared" si="10"/>
        <v>Baixo valor</v>
      </c>
      <c r="K223" t="str">
        <f t="shared" si="11"/>
        <v>AK2025-04</v>
      </c>
      <c r="L223" s="5"/>
    </row>
    <row r="224" spans="2:12" x14ac:dyDescent="0.35">
      <c r="B224" s="5" t="s">
        <v>52</v>
      </c>
      <c r="C224" s="5" t="str">
        <f>VLOOKUP(B224,Tabela4[],2,FALSE)</f>
        <v>Pequena</v>
      </c>
      <c r="D224" s="12" t="str">
        <f>VLOOKUP(B224,Tabela4[],3,FALSE)</f>
        <v>Rio Grande do Sul</v>
      </c>
      <c r="E224" s="16" t="s">
        <v>69</v>
      </c>
      <c r="F224" s="13">
        <f>VLOOKUP($K224,'FATURAMENTO '!$B$2:$F$302,4,FALSE)</f>
        <v>34747</v>
      </c>
      <c r="G224" s="13">
        <f>VLOOKUP($K224,'FATURAMENTO '!$B$2:$F$302,5,FALSE)</f>
        <v>18622.79</v>
      </c>
      <c r="H224" s="5" t="str">
        <f>VLOOKUP($K224,CHURN!$A$2:$E$302,4,FALSE)</f>
        <v>Ativo</v>
      </c>
      <c r="I224" s="11">
        <f t="shared" si="9"/>
        <v>0.46404610469968627</v>
      </c>
      <c r="J224" s="14" t="str">
        <f t="shared" si="10"/>
        <v>Baixo valor</v>
      </c>
      <c r="K224" t="str">
        <f t="shared" si="11"/>
        <v>AK2025-05</v>
      </c>
      <c r="L224" s="5"/>
    </row>
    <row r="225" spans="2:12" x14ac:dyDescent="0.35">
      <c r="B225" s="5" t="s">
        <v>53</v>
      </c>
      <c r="C225" s="5" t="str">
        <f>VLOOKUP(B225,Tabela4[],2,FALSE)</f>
        <v>Grande</v>
      </c>
      <c r="D225" s="12" t="str">
        <f>VLOOKUP(B225,Tabela4[],3,FALSE)</f>
        <v>Minas Gerais</v>
      </c>
      <c r="E225" s="16" t="s">
        <v>6</v>
      </c>
      <c r="F225" s="13">
        <f>VLOOKUP($K225,'FATURAMENTO '!$B$2:$F$302,4,FALSE)</f>
        <v>37824</v>
      </c>
      <c r="G225" s="13">
        <f>VLOOKUP($K225,'FATURAMENTO '!$B$2:$F$302,5,FALSE)</f>
        <v>19545.88</v>
      </c>
      <c r="H225" s="5" t="str">
        <f>VLOOKUP($K225,CHURN!$A$2:$E$302,4,FALSE)</f>
        <v>Ativo</v>
      </c>
      <c r="I225" s="11">
        <f t="shared" si="9"/>
        <v>0.48324132825719118</v>
      </c>
      <c r="J225" s="14" t="str">
        <f t="shared" si="10"/>
        <v>Médio valor</v>
      </c>
      <c r="K225" t="str">
        <f t="shared" si="11"/>
        <v>AL2024-12</v>
      </c>
      <c r="L225" s="5"/>
    </row>
    <row r="226" spans="2:12" x14ac:dyDescent="0.35">
      <c r="B226" s="5" t="s">
        <v>53</v>
      </c>
      <c r="C226" s="5" t="str">
        <f>VLOOKUP(B226,Tabela4[],2,FALSE)</f>
        <v>Grande</v>
      </c>
      <c r="D226" s="12" t="str">
        <f>VLOOKUP(B226,Tabela4[],3,FALSE)</f>
        <v>Minas Gerais</v>
      </c>
      <c r="E226" s="16" t="s">
        <v>66</v>
      </c>
      <c r="F226" s="13">
        <f>VLOOKUP($K226,'FATURAMENTO '!$B$2:$F$302,4,FALSE)</f>
        <v>33725</v>
      </c>
      <c r="G226" s="13">
        <f>VLOOKUP($K226,'FATURAMENTO '!$B$2:$F$302,5,FALSE)</f>
        <v>22500.58</v>
      </c>
      <c r="H226" s="5" t="str">
        <f>VLOOKUP($K226,CHURN!$A$2:$E$302,4,FALSE)</f>
        <v>Ativo</v>
      </c>
      <c r="I226" s="11">
        <f t="shared" si="9"/>
        <v>0.33282194217939209</v>
      </c>
      <c r="J226" s="14" t="str">
        <f t="shared" si="10"/>
        <v>Médio valor</v>
      </c>
      <c r="K226" t="str">
        <f t="shared" si="11"/>
        <v>AL2025-01</v>
      </c>
      <c r="L226" s="5"/>
    </row>
    <row r="227" spans="2:12" x14ac:dyDescent="0.35">
      <c r="B227" s="5" t="s">
        <v>53</v>
      </c>
      <c r="C227" s="5" t="str">
        <f>VLOOKUP(B227,Tabela4[],2,FALSE)</f>
        <v>Grande</v>
      </c>
      <c r="D227" s="12" t="str">
        <f>VLOOKUP(B227,Tabela4[],3,FALSE)</f>
        <v>Minas Gerais</v>
      </c>
      <c r="E227" s="16" t="s">
        <v>67</v>
      </c>
      <c r="F227" s="13">
        <f>VLOOKUP($K227,'FATURAMENTO '!$B$2:$F$302,4,FALSE)</f>
        <v>47708</v>
      </c>
      <c r="G227" s="13">
        <f>VLOOKUP($K227,'FATURAMENTO '!$B$2:$F$302,5,FALSE)</f>
        <v>33859.769999999997</v>
      </c>
      <c r="H227" s="5" t="str">
        <f>VLOOKUP($K227,CHURN!$A$2:$E$302,4,FALSE)</f>
        <v>Ativo</v>
      </c>
      <c r="I227" s="11">
        <f t="shared" si="9"/>
        <v>0.29027060451077397</v>
      </c>
      <c r="J227" s="14" t="str">
        <f t="shared" si="10"/>
        <v>Médio valor</v>
      </c>
      <c r="K227" t="str">
        <f t="shared" si="11"/>
        <v>AL2025-02</v>
      </c>
      <c r="L227" s="5"/>
    </row>
    <row r="228" spans="2:12" x14ac:dyDescent="0.35">
      <c r="B228" s="5" t="s">
        <v>53</v>
      </c>
      <c r="C228" s="5" t="str">
        <f>VLOOKUP(B228,Tabela4[],2,FALSE)</f>
        <v>Grande</v>
      </c>
      <c r="D228" s="12" t="str">
        <f>VLOOKUP(B228,Tabela4[],3,FALSE)</f>
        <v>Minas Gerais</v>
      </c>
      <c r="E228" s="16" t="s">
        <v>88</v>
      </c>
      <c r="F228" s="13">
        <f>VLOOKUP($K228,'FATURAMENTO '!$B$2:$F$302,4,FALSE)</f>
        <v>41937</v>
      </c>
      <c r="G228" s="13">
        <f>VLOOKUP($K228,'FATURAMENTO '!$B$2:$F$302,5,FALSE)</f>
        <v>30594.46</v>
      </c>
      <c r="H228" s="5" t="str">
        <f>VLOOKUP($K228,CHURN!$A$2:$E$302,4,FALSE)</f>
        <v>Ativo</v>
      </c>
      <c r="I228" s="11">
        <f t="shared" si="9"/>
        <v>0.2704661754536567</v>
      </c>
      <c r="J228" s="14" t="str">
        <f t="shared" si="10"/>
        <v>Médio valor</v>
      </c>
      <c r="K228" t="str">
        <f t="shared" si="11"/>
        <v>AL2025-03</v>
      </c>
      <c r="L228" s="5"/>
    </row>
    <row r="229" spans="2:12" x14ac:dyDescent="0.35">
      <c r="B229" s="5" t="s">
        <v>53</v>
      </c>
      <c r="C229" s="5" t="str">
        <f>VLOOKUP(B229,Tabela4[],2,FALSE)</f>
        <v>Grande</v>
      </c>
      <c r="D229" s="12" t="str">
        <f>VLOOKUP(B229,Tabela4[],3,FALSE)</f>
        <v>Minas Gerais</v>
      </c>
      <c r="E229" s="16" t="s">
        <v>68</v>
      </c>
      <c r="F229" s="13">
        <f>VLOOKUP($K229,'FATURAMENTO '!$B$2:$F$302,4,FALSE)</f>
        <v>4864</v>
      </c>
      <c r="G229" s="13">
        <f>VLOOKUP($K229,'FATURAMENTO '!$B$2:$F$302,5,FALSE)</f>
        <v>2457.63</v>
      </c>
      <c r="H229" s="5" t="str">
        <f>VLOOKUP($K229,CHURN!$A$2:$E$302,4,FALSE)</f>
        <v>Ativo</v>
      </c>
      <c r="I229" s="11">
        <f t="shared" si="9"/>
        <v>0.49473067434210521</v>
      </c>
      <c r="J229" s="14" t="str">
        <f t="shared" si="10"/>
        <v>Médio valor</v>
      </c>
      <c r="K229" t="str">
        <f t="shared" si="11"/>
        <v>AL2025-04</v>
      </c>
      <c r="L229" s="5"/>
    </row>
    <row r="230" spans="2:12" x14ac:dyDescent="0.35">
      <c r="B230" s="5" t="s">
        <v>53</v>
      </c>
      <c r="C230" s="5" t="str">
        <f>VLOOKUP(B230,Tabela4[],2,FALSE)</f>
        <v>Grande</v>
      </c>
      <c r="D230" s="12" t="str">
        <f>VLOOKUP(B230,Tabela4[],3,FALSE)</f>
        <v>Minas Gerais</v>
      </c>
      <c r="E230" s="16" t="s">
        <v>69</v>
      </c>
      <c r="F230" s="13">
        <f>VLOOKUP($K230,'FATURAMENTO '!$B$2:$F$302,4,FALSE)</f>
        <v>9238</v>
      </c>
      <c r="G230" s="13">
        <f>VLOOKUP($K230,'FATURAMENTO '!$B$2:$F$302,5,FALSE)</f>
        <v>6623.4</v>
      </c>
      <c r="H230" s="5" t="str">
        <f>VLOOKUP($K230,CHURN!$A$2:$E$302,4,FALSE)</f>
        <v>Ativo</v>
      </c>
      <c r="I230" s="11">
        <f t="shared" si="9"/>
        <v>0.28302662914050664</v>
      </c>
      <c r="J230" s="14" t="str">
        <f t="shared" si="10"/>
        <v>Médio valor</v>
      </c>
      <c r="K230" t="str">
        <f t="shared" si="11"/>
        <v>AL2025-05</v>
      </c>
      <c r="L230" s="5"/>
    </row>
    <row r="231" spans="2:12" x14ac:dyDescent="0.35">
      <c r="B231" s="5" t="s">
        <v>54</v>
      </c>
      <c r="C231" s="5" t="str">
        <f>VLOOKUP(B231,Tabela4[],2,FALSE)</f>
        <v>Pequena</v>
      </c>
      <c r="D231" s="12" t="str">
        <f>VLOOKUP(B231,Tabela4[],3,FALSE)</f>
        <v>Distrito Federal</v>
      </c>
      <c r="E231" s="16" t="s">
        <v>6</v>
      </c>
      <c r="F231" s="13">
        <f>VLOOKUP($K231,'FATURAMENTO '!$B$2:$F$302,4,FALSE)</f>
        <v>44774</v>
      </c>
      <c r="G231" s="13">
        <f>VLOOKUP($K231,'FATURAMENTO '!$B$2:$F$302,5,FALSE)</f>
        <v>28511.23</v>
      </c>
      <c r="H231" s="5" t="str">
        <f>VLOOKUP($K231,CHURN!$A$2:$E$302,4,FALSE)</f>
        <v>Ativo</v>
      </c>
      <c r="I231" s="11">
        <f t="shared" si="9"/>
        <v>0.36321905570196988</v>
      </c>
      <c r="J231" s="14" t="str">
        <f t="shared" si="10"/>
        <v>Médio valor</v>
      </c>
      <c r="K231" t="str">
        <f t="shared" si="11"/>
        <v>AM2024-12</v>
      </c>
      <c r="L231" s="5"/>
    </row>
    <row r="232" spans="2:12" x14ac:dyDescent="0.35">
      <c r="B232" s="5" t="s">
        <v>54</v>
      </c>
      <c r="C232" s="5" t="str">
        <f>VLOOKUP(B232,Tabela4[],2,FALSE)</f>
        <v>Pequena</v>
      </c>
      <c r="D232" s="12" t="str">
        <f>VLOOKUP(B232,Tabela4[],3,FALSE)</f>
        <v>Distrito Federal</v>
      </c>
      <c r="E232" s="16" t="s">
        <v>66</v>
      </c>
      <c r="F232" s="13">
        <f>VLOOKUP($K232,'FATURAMENTO '!$B$2:$F$302,4,FALSE)</f>
        <v>46815</v>
      </c>
      <c r="G232" s="13">
        <f>VLOOKUP($K232,'FATURAMENTO '!$B$2:$F$302,5,FALSE)</f>
        <v>24877.21</v>
      </c>
      <c r="H232" s="5" t="str">
        <f>VLOOKUP($K232,CHURN!$A$2:$E$302,4,FALSE)</f>
        <v>Ativo</v>
      </c>
      <c r="I232" s="11">
        <f t="shared" si="9"/>
        <v>0.46860600234967426</v>
      </c>
      <c r="J232" s="14" t="str">
        <f t="shared" si="10"/>
        <v>Médio valor</v>
      </c>
      <c r="K232" t="str">
        <f t="shared" si="11"/>
        <v>AM2025-01</v>
      </c>
      <c r="L232" s="5"/>
    </row>
    <row r="233" spans="2:12" x14ac:dyDescent="0.35">
      <c r="B233" s="5" t="s">
        <v>54</v>
      </c>
      <c r="C233" s="5" t="str">
        <f>VLOOKUP(B233,Tabela4[],2,FALSE)</f>
        <v>Pequena</v>
      </c>
      <c r="D233" s="12" t="str">
        <f>VLOOKUP(B233,Tabela4[],3,FALSE)</f>
        <v>Distrito Federal</v>
      </c>
      <c r="E233" s="16" t="s">
        <v>67</v>
      </c>
      <c r="F233" s="13">
        <f>VLOOKUP($K233,'FATURAMENTO '!$B$2:$F$302,4,FALSE)</f>
        <v>10474</v>
      </c>
      <c r="G233" s="13">
        <f>VLOOKUP($K233,'FATURAMENTO '!$B$2:$F$302,5,FALSE)</f>
        <v>8095.69</v>
      </c>
      <c r="H233" s="5" t="str">
        <f>VLOOKUP($K233,CHURN!$A$2:$E$302,4,FALSE)</f>
        <v>Ativo</v>
      </c>
      <c r="I233" s="11">
        <f t="shared" si="9"/>
        <v>0.22706797784991412</v>
      </c>
      <c r="J233" s="14" t="str">
        <f t="shared" si="10"/>
        <v>Médio valor</v>
      </c>
      <c r="K233" t="str">
        <f t="shared" si="11"/>
        <v>AM2025-02</v>
      </c>
      <c r="L233" s="5"/>
    </row>
    <row r="234" spans="2:12" x14ac:dyDescent="0.35">
      <c r="B234" s="5" t="s">
        <v>54</v>
      </c>
      <c r="C234" s="5" t="str">
        <f>VLOOKUP(B234,Tabela4[],2,FALSE)</f>
        <v>Pequena</v>
      </c>
      <c r="D234" s="12" t="str">
        <f>VLOOKUP(B234,Tabela4[],3,FALSE)</f>
        <v>Distrito Federal</v>
      </c>
      <c r="E234" s="16" t="s">
        <v>88</v>
      </c>
      <c r="F234" s="13">
        <f>VLOOKUP($K234,'FATURAMENTO '!$B$2:$F$302,4,FALSE)</f>
        <v>11251</v>
      </c>
      <c r="G234" s="13">
        <f>VLOOKUP($K234,'FATURAMENTO '!$B$2:$F$302,5,FALSE)</f>
        <v>7980.88</v>
      </c>
      <c r="H234" s="5" t="str">
        <f>VLOOKUP($K234,CHURN!$A$2:$E$302,4,FALSE)</f>
        <v>Ativo</v>
      </c>
      <c r="I234" s="11">
        <f t="shared" si="9"/>
        <v>0.29065149764465381</v>
      </c>
      <c r="J234" s="14" t="str">
        <f t="shared" si="10"/>
        <v>Médio valor</v>
      </c>
      <c r="K234" t="str">
        <f t="shared" si="11"/>
        <v>AM2025-03</v>
      </c>
      <c r="L234" s="5"/>
    </row>
    <row r="235" spans="2:12" x14ac:dyDescent="0.35">
      <c r="B235" s="5" t="s">
        <v>54</v>
      </c>
      <c r="C235" s="5" t="str">
        <f>VLOOKUP(B235,Tabela4[],2,FALSE)</f>
        <v>Pequena</v>
      </c>
      <c r="D235" s="12" t="str">
        <f>VLOOKUP(B235,Tabela4[],3,FALSE)</f>
        <v>Distrito Federal</v>
      </c>
      <c r="E235" s="16" t="s">
        <v>68</v>
      </c>
      <c r="F235" s="13">
        <f>VLOOKUP($K235,'FATURAMENTO '!$B$2:$F$302,4,FALSE)</f>
        <v>37443</v>
      </c>
      <c r="G235" s="13">
        <f>VLOOKUP($K235,'FATURAMENTO '!$B$2:$F$302,5,FALSE)</f>
        <v>29053.23</v>
      </c>
      <c r="H235" s="5" t="str">
        <f>VLOOKUP($K235,CHURN!$A$2:$E$302,4,FALSE)</f>
        <v>Ativo</v>
      </c>
      <c r="I235" s="11">
        <f t="shared" si="9"/>
        <v>0.22406778303020591</v>
      </c>
      <c r="J235" s="14" t="str">
        <f t="shared" si="10"/>
        <v>Médio valor</v>
      </c>
      <c r="K235" t="str">
        <f t="shared" si="11"/>
        <v>AM2025-04</v>
      </c>
      <c r="L235" s="5"/>
    </row>
    <row r="236" spans="2:12" x14ac:dyDescent="0.35">
      <c r="B236" s="5" t="s">
        <v>54</v>
      </c>
      <c r="C236" s="5" t="str">
        <f>VLOOKUP(B236,Tabela4[],2,FALSE)</f>
        <v>Pequena</v>
      </c>
      <c r="D236" s="12" t="str">
        <f>VLOOKUP(B236,Tabela4[],3,FALSE)</f>
        <v>Distrito Federal</v>
      </c>
      <c r="E236" s="16" t="s">
        <v>69</v>
      </c>
      <c r="F236" s="13">
        <f>VLOOKUP($K236,'FATURAMENTO '!$B$2:$F$302,4,FALSE)</f>
        <v>35749</v>
      </c>
      <c r="G236" s="13">
        <f>VLOOKUP($K236,'FATURAMENTO '!$B$2:$F$302,5,FALSE)</f>
        <v>25853.93</v>
      </c>
      <c r="H236" s="5" t="str">
        <f>VLOOKUP($K236,CHURN!$A$2:$E$302,4,FALSE)</f>
        <v>Ativo</v>
      </c>
      <c r="I236" s="11">
        <f t="shared" si="9"/>
        <v>0.27679291728439953</v>
      </c>
      <c r="J236" s="14" t="str">
        <f t="shared" si="10"/>
        <v>Médio valor</v>
      </c>
      <c r="K236" t="str">
        <f t="shared" si="11"/>
        <v>AM2025-05</v>
      </c>
      <c r="L236" s="5"/>
    </row>
    <row r="237" spans="2:12" x14ac:dyDescent="0.35">
      <c r="B237" s="5" t="s">
        <v>55</v>
      </c>
      <c r="C237" s="5" t="str">
        <f>VLOOKUP(B237,Tabela4[],2,FALSE)</f>
        <v>Média</v>
      </c>
      <c r="D237" s="12" t="str">
        <f>VLOOKUP(B237,Tabela4[],3,FALSE)</f>
        <v>Paraná</v>
      </c>
      <c r="E237" s="16" t="s">
        <v>6</v>
      </c>
      <c r="F237" s="13">
        <f>VLOOKUP($K237,'FATURAMENTO '!$B$2:$F$302,4,FALSE)</f>
        <v>40023</v>
      </c>
      <c r="G237" s="13">
        <f>VLOOKUP($K237,'FATURAMENTO '!$B$2:$F$302,5,FALSE)</f>
        <v>28343.45</v>
      </c>
      <c r="H237" s="5" t="str">
        <f>VLOOKUP($K237,CHURN!$A$2:$E$302,4,FALSE)</f>
        <v>Ativo</v>
      </c>
      <c r="I237" s="11">
        <f t="shared" si="9"/>
        <v>0.29182095295205257</v>
      </c>
      <c r="J237" s="14" t="str">
        <f t="shared" si="10"/>
        <v>Baixo valor</v>
      </c>
      <c r="K237" t="str">
        <f t="shared" si="11"/>
        <v>AN2024-12</v>
      </c>
      <c r="L237" s="5"/>
    </row>
    <row r="238" spans="2:12" x14ac:dyDescent="0.35">
      <c r="B238" s="5" t="s">
        <v>55</v>
      </c>
      <c r="C238" s="5" t="str">
        <f>VLOOKUP(B238,Tabela4[],2,FALSE)</f>
        <v>Média</v>
      </c>
      <c r="D238" s="12" t="str">
        <f>VLOOKUP(B238,Tabela4[],3,FALSE)</f>
        <v>Paraná</v>
      </c>
      <c r="E238" s="16" t="s">
        <v>66</v>
      </c>
      <c r="F238" s="13">
        <f>VLOOKUP($K238,'FATURAMENTO '!$B$2:$F$302,4,FALSE)</f>
        <v>11144</v>
      </c>
      <c r="G238" s="13">
        <f>VLOOKUP($K238,'FATURAMENTO '!$B$2:$F$302,5,FALSE)</f>
        <v>7722.01</v>
      </c>
      <c r="H238" s="5" t="str">
        <f>VLOOKUP($K238,CHURN!$A$2:$E$302,4,FALSE)</f>
        <v>Cancelado</v>
      </c>
      <c r="I238" s="11">
        <f t="shared" si="9"/>
        <v>0.30707017229002154</v>
      </c>
      <c r="J238" s="14" t="str">
        <f t="shared" si="10"/>
        <v>Baixo valor</v>
      </c>
      <c r="K238" t="str">
        <f t="shared" si="11"/>
        <v>AN2025-01</v>
      </c>
      <c r="L238" s="5"/>
    </row>
    <row r="239" spans="2:12" x14ac:dyDescent="0.35">
      <c r="B239" s="5" t="s">
        <v>55</v>
      </c>
      <c r="C239" s="5" t="str">
        <f>VLOOKUP(B239,Tabela4[],2,FALSE)</f>
        <v>Média</v>
      </c>
      <c r="D239" s="12" t="str">
        <f>VLOOKUP(B239,Tabela4[],3,FALSE)</f>
        <v>Paraná</v>
      </c>
      <c r="E239" s="16" t="s">
        <v>67</v>
      </c>
      <c r="F239" s="13">
        <f>VLOOKUP($K239,'FATURAMENTO '!$B$2:$F$302,4,FALSE)</f>
        <v>18478</v>
      </c>
      <c r="G239" s="13">
        <f>VLOOKUP($K239,'FATURAMENTO '!$B$2:$F$302,5,FALSE)</f>
        <v>13776.58</v>
      </c>
      <c r="H239" s="5" t="str">
        <f>VLOOKUP($K239,CHURN!$A$2:$E$302,4,FALSE)</f>
        <v>Ativo</v>
      </c>
      <c r="I239" s="11">
        <f t="shared" si="9"/>
        <v>0.2544333802359563</v>
      </c>
      <c r="J239" s="14" t="str">
        <f t="shared" si="10"/>
        <v>Baixo valor</v>
      </c>
      <c r="K239" t="str">
        <f t="shared" si="11"/>
        <v>AN2025-02</v>
      </c>
      <c r="L239" s="5"/>
    </row>
    <row r="240" spans="2:12" x14ac:dyDescent="0.35">
      <c r="B240" s="5" t="s">
        <v>55</v>
      </c>
      <c r="C240" s="5" t="str">
        <f>VLOOKUP(B240,Tabela4[],2,FALSE)</f>
        <v>Média</v>
      </c>
      <c r="D240" s="12" t="str">
        <f>VLOOKUP(B240,Tabela4[],3,FALSE)</f>
        <v>Paraná</v>
      </c>
      <c r="E240" s="16" t="s">
        <v>88</v>
      </c>
      <c r="F240" s="13">
        <f>VLOOKUP($K240,'FATURAMENTO '!$B$2:$F$302,4,FALSE)</f>
        <v>2095</v>
      </c>
      <c r="G240" s="13">
        <f>VLOOKUP($K240,'FATURAMENTO '!$B$2:$F$302,5,FALSE)</f>
        <v>1658.89</v>
      </c>
      <c r="H240" s="5" t="str">
        <f>VLOOKUP($K240,CHURN!$A$2:$E$302,4,FALSE)</f>
        <v>Ativo</v>
      </c>
      <c r="I240" s="11">
        <f t="shared" si="9"/>
        <v>0.20816706443914076</v>
      </c>
      <c r="J240" s="14" t="str">
        <f t="shared" si="10"/>
        <v>Baixo valor</v>
      </c>
      <c r="K240" t="str">
        <f t="shared" si="11"/>
        <v>AN2025-03</v>
      </c>
      <c r="L240" s="5"/>
    </row>
    <row r="241" spans="2:12" x14ac:dyDescent="0.35">
      <c r="B241" s="5" t="s">
        <v>55</v>
      </c>
      <c r="C241" s="5" t="str">
        <f>VLOOKUP(B241,Tabela4[],2,FALSE)</f>
        <v>Média</v>
      </c>
      <c r="D241" s="12" t="str">
        <f>VLOOKUP(B241,Tabela4[],3,FALSE)</f>
        <v>Paraná</v>
      </c>
      <c r="E241" s="16" t="s">
        <v>68</v>
      </c>
      <c r="F241" s="13">
        <f>VLOOKUP($K241,'FATURAMENTO '!$B$2:$F$302,4,FALSE)</f>
        <v>41794</v>
      </c>
      <c r="G241" s="13">
        <f>VLOOKUP($K241,'FATURAMENTO '!$B$2:$F$302,5,FALSE)</f>
        <v>24439.65</v>
      </c>
      <c r="H241" s="5" t="str">
        <f>VLOOKUP($K241,CHURN!$A$2:$E$302,4,FALSE)</f>
        <v>Ativo</v>
      </c>
      <c r="I241" s="11">
        <f t="shared" si="9"/>
        <v>0.41523544049385075</v>
      </c>
      <c r="J241" s="14" t="str">
        <f t="shared" si="10"/>
        <v>Baixo valor</v>
      </c>
      <c r="K241" t="str">
        <f t="shared" si="11"/>
        <v>AN2025-04</v>
      </c>
      <c r="L241" s="5"/>
    </row>
    <row r="242" spans="2:12" x14ac:dyDescent="0.35">
      <c r="B242" s="5" t="s">
        <v>55</v>
      </c>
      <c r="C242" s="5" t="str">
        <f>VLOOKUP(B242,Tabela4[],2,FALSE)</f>
        <v>Média</v>
      </c>
      <c r="D242" s="12" t="str">
        <f>VLOOKUP(B242,Tabela4[],3,FALSE)</f>
        <v>Paraná</v>
      </c>
      <c r="E242" s="16" t="s">
        <v>69</v>
      </c>
      <c r="F242" s="13">
        <f>VLOOKUP($K242,'FATURAMENTO '!$B$2:$F$302,4,FALSE)</f>
        <v>6042</v>
      </c>
      <c r="G242" s="13">
        <f>VLOOKUP($K242,'FATURAMENTO '!$B$2:$F$302,5,FALSE)</f>
        <v>4401.71</v>
      </c>
      <c r="H242" s="5" t="str">
        <f>VLOOKUP($K242,CHURN!$A$2:$E$302,4,FALSE)</f>
        <v>Ativo</v>
      </c>
      <c r="I242" s="11">
        <f t="shared" si="9"/>
        <v>0.27148129758358158</v>
      </c>
      <c r="J242" s="14" t="str">
        <f t="shared" si="10"/>
        <v>Baixo valor</v>
      </c>
      <c r="K242" t="str">
        <f t="shared" si="11"/>
        <v>AN2025-05</v>
      </c>
      <c r="L242" s="5"/>
    </row>
    <row r="243" spans="2:12" x14ac:dyDescent="0.35">
      <c r="B243" s="5" t="s">
        <v>56</v>
      </c>
      <c r="C243" s="5" t="str">
        <f>VLOOKUP(B243,Tabela4[],2,FALSE)</f>
        <v>Média</v>
      </c>
      <c r="D243" s="12" t="str">
        <f>VLOOKUP(B243,Tabela4[],3,FALSE)</f>
        <v>Minas Gerais</v>
      </c>
      <c r="E243" s="16" t="s">
        <v>6</v>
      </c>
      <c r="F243" s="13">
        <f>VLOOKUP($K243,'FATURAMENTO '!$B$2:$F$302,4,FALSE)</f>
        <v>49189</v>
      </c>
      <c r="G243" s="13">
        <f>VLOOKUP($K243,'FATURAMENTO '!$B$2:$F$302,5,FALSE)</f>
        <v>26285.75</v>
      </c>
      <c r="H243" s="5" t="str">
        <f>VLOOKUP($K243,CHURN!$A$2:$E$302,4,FALSE)</f>
        <v>Ativo</v>
      </c>
      <c r="I243" s="11">
        <f t="shared" si="9"/>
        <v>0.4656173128138405</v>
      </c>
      <c r="J243" s="14" t="str">
        <f t="shared" si="10"/>
        <v>Médio valor</v>
      </c>
      <c r="K243" t="str">
        <f t="shared" si="11"/>
        <v>AO2024-12</v>
      </c>
      <c r="L243" s="5"/>
    </row>
    <row r="244" spans="2:12" x14ac:dyDescent="0.35">
      <c r="B244" s="5" t="s">
        <v>56</v>
      </c>
      <c r="C244" s="5" t="str">
        <f>VLOOKUP(B244,Tabela4[],2,FALSE)</f>
        <v>Média</v>
      </c>
      <c r="D244" s="12" t="str">
        <f>VLOOKUP(B244,Tabela4[],3,FALSE)</f>
        <v>Minas Gerais</v>
      </c>
      <c r="E244" s="16" t="s">
        <v>66</v>
      </c>
      <c r="F244" s="13">
        <f>VLOOKUP($K244,'FATURAMENTO '!$B$2:$F$302,4,FALSE)</f>
        <v>35723</v>
      </c>
      <c r="G244" s="13">
        <f>VLOOKUP($K244,'FATURAMENTO '!$B$2:$F$302,5,FALSE)</f>
        <v>23567.49</v>
      </c>
      <c r="H244" s="5" t="str">
        <f>VLOOKUP($K244,CHURN!$A$2:$E$302,4,FALSE)</f>
        <v>Cancelado</v>
      </c>
      <c r="I244" s="11">
        <f t="shared" si="9"/>
        <v>0.34027125381406931</v>
      </c>
      <c r="J244" s="14" t="str">
        <f t="shared" si="10"/>
        <v>Médio valor</v>
      </c>
      <c r="K244" t="str">
        <f t="shared" si="11"/>
        <v>AO2025-01</v>
      </c>
      <c r="L244" s="5"/>
    </row>
    <row r="245" spans="2:12" x14ac:dyDescent="0.35">
      <c r="B245" s="5" t="s">
        <v>56</v>
      </c>
      <c r="C245" s="5" t="str">
        <f>VLOOKUP(B245,Tabela4[],2,FALSE)</f>
        <v>Média</v>
      </c>
      <c r="D245" s="12" t="str">
        <f>VLOOKUP(B245,Tabela4[],3,FALSE)</f>
        <v>Minas Gerais</v>
      </c>
      <c r="E245" s="16" t="s">
        <v>67</v>
      </c>
      <c r="F245" s="13">
        <f>VLOOKUP($K245,'FATURAMENTO '!$B$2:$F$302,4,FALSE)</f>
        <v>31884</v>
      </c>
      <c r="G245" s="13">
        <f>VLOOKUP($K245,'FATURAMENTO '!$B$2:$F$302,5,FALSE)</f>
        <v>21240.77</v>
      </c>
      <c r="H245" s="5" t="str">
        <f>VLOOKUP($K245,CHURN!$A$2:$E$302,4,FALSE)</f>
        <v>Ativo</v>
      </c>
      <c r="I245" s="11">
        <f t="shared" si="9"/>
        <v>0.3338110023836407</v>
      </c>
      <c r="J245" s="14" t="str">
        <f t="shared" si="10"/>
        <v>Médio valor</v>
      </c>
      <c r="K245" t="str">
        <f t="shared" si="11"/>
        <v>AO2025-02</v>
      </c>
      <c r="L245" s="5"/>
    </row>
    <row r="246" spans="2:12" x14ac:dyDescent="0.35">
      <c r="B246" s="5" t="s">
        <v>56</v>
      </c>
      <c r="C246" s="5" t="str">
        <f>VLOOKUP(B246,Tabela4[],2,FALSE)</f>
        <v>Média</v>
      </c>
      <c r="D246" s="12" t="str">
        <f>VLOOKUP(B246,Tabela4[],3,FALSE)</f>
        <v>Minas Gerais</v>
      </c>
      <c r="E246" s="16" t="s">
        <v>88</v>
      </c>
      <c r="F246" s="13">
        <f>VLOOKUP($K246,'FATURAMENTO '!$B$2:$F$302,4,FALSE)</f>
        <v>39221</v>
      </c>
      <c r="G246" s="13">
        <f>VLOOKUP($K246,'FATURAMENTO '!$B$2:$F$302,5,FALSE)</f>
        <v>24824.12</v>
      </c>
      <c r="H246" s="5" t="str">
        <f>VLOOKUP($K246,CHURN!$A$2:$E$302,4,FALSE)</f>
        <v>Cancelado</v>
      </c>
      <c r="I246" s="11">
        <f t="shared" si="9"/>
        <v>0.36707070191988989</v>
      </c>
      <c r="J246" s="14" t="str">
        <f t="shared" si="10"/>
        <v>Médio valor</v>
      </c>
      <c r="K246" t="str">
        <f t="shared" si="11"/>
        <v>AO2025-03</v>
      </c>
      <c r="L246" s="5"/>
    </row>
    <row r="247" spans="2:12" x14ac:dyDescent="0.35">
      <c r="B247" s="5" t="s">
        <v>56</v>
      </c>
      <c r="C247" s="5" t="str">
        <f>VLOOKUP(B247,Tabela4[],2,FALSE)</f>
        <v>Média</v>
      </c>
      <c r="D247" s="12" t="str">
        <f>VLOOKUP(B247,Tabela4[],3,FALSE)</f>
        <v>Minas Gerais</v>
      </c>
      <c r="E247" s="16" t="s">
        <v>68</v>
      </c>
      <c r="F247" s="13">
        <f>VLOOKUP($K247,'FATURAMENTO '!$B$2:$F$302,4,FALSE)</f>
        <v>27176</v>
      </c>
      <c r="G247" s="13">
        <f>VLOOKUP($K247,'FATURAMENTO '!$B$2:$F$302,5,FALSE)</f>
        <v>20582.740000000002</v>
      </c>
      <c r="H247" s="5" t="str">
        <f>VLOOKUP($K247,CHURN!$A$2:$E$302,4,FALSE)</f>
        <v>Ativo</v>
      </c>
      <c r="I247" s="11">
        <f t="shared" si="9"/>
        <v>0.24261333529584922</v>
      </c>
      <c r="J247" s="14" t="str">
        <f t="shared" si="10"/>
        <v>Médio valor</v>
      </c>
      <c r="K247" t="str">
        <f t="shared" si="11"/>
        <v>AO2025-04</v>
      </c>
      <c r="L247" s="5"/>
    </row>
    <row r="248" spans="2:12" x14ac:dyDescent="0.35">
      <c r="B248" s="5" t="s">
        <v>56</v>
      </c>
      <c r="C248" s="5" t="str">
        <f>VLOOKUP(B248,Tabela4[],2,FALSE)</f>
        <v>Média</v>
      </c>
      <c r="D248" s="12" t="str">
        <f>VLOOKUP(B248,Tabela4[],3,FALSE)</f>
        <v>Minas Gerais</v>
      </c>
      <c r="E248" s="16" t="s">
        <v>69</v>
      </c>
      <c r="F248" s="13">
        <f>VLOOKUP($K248,'FATURAMENTO '!$B$2:$F$302,4,FALSE)</f>
        <v>41925</v>
      </c>
      <c r="G248" s="13">
        <f>VLOOKUP($K248,'FATURAMENTO '!$B$2:$F$302,5,FALSE)</f>
        <v>30881.23</v>
      </c>
      <c r="H248" s="5" t="str">
        <f>VLOOKUP($K248,CHURN!$A$2:$E$302,4,FALSE)</f>
        <v>Ativo</v>
      </c>
      <c r="I248" s="11">
        <f t="shared" si="9"/>
        <v>0.26341729278473464</v>
      </c>
      <c r="J248" s="14" t="str">
        <f t="shared" si="10"/>
        <v>Médio valor</v>
      </c>
      <c r="K248" t="str">
        <f t="shared" si="11"/>
        <v>AO2025-05</v>
      </c>
      <c r="L248" s="5"/>
    </row>
    <row r="249" spans="2:12" x14ac:dyDescent="0.35">
      <c r="B249" s="5" t="s">
        <v>57</v>
      </c>
      <c r="C249" s="5" t="str">
        <f>VLOOKUP(B249,Tabela4[],2,FALSE)</f>
        <v>Pequena</v>
      </c>
      <c r="D249" s="12" t="str">
        <f>VLOOKUP(B249,Tabela4[],3,FALSE)</f>
        <v>São Paulo</v>
      </c>
      <c r="E249" s="16" t="s">
        <v>6</v>
      </c>
      <c r="F249" s="13">
        <f>VLOOKUP($K249,'FATURAMENTO '!$B$2:$F$302,4,FALSE)</f>
        <v>12359</v>
      </c>
      <c r="G249" s="13">
        <f>VLOOKUP($K249,'FATURAMENTO '!$B$2:$F$302,5,FALSE)</f>
        <v>9527.25</v>
      </c>
      <c r="H249" s="5" t="str">
        <f>VLOOKUP($K249,CHURN!$A$2:$E$302,4,FALSE)</f>
        <v>Ativo</v>
      </c>
      <c r="I249" s="11">
        <f t="shared" si="9"/>
        <v>0.22912452463791569</v>
      </c>
      <c r="J249" s="14" t="str">
        <f t="shared" si="10"/>
        <v>Baixo valor</v>
      </c>
      <c r="K249" t="str">
        <f t="shared" si="11"/>
        <v>AP2024-12</v>
      </c>
      <c r="L249" s="5"/>
    </row>
    <row r="250" spans="2:12" x14ac:dyDescent="0.35">
      <c r="B250" s="5" t="s">
        <v>57</v>
      </c>
      <c r="C250" s="5" t="str">
        <f>VLOOKUP(B250,Tabela4[],2,FALSE)</f>
        <v>Pequena</v>
      </c>
      <c r="D250" s="12" t="str">
        <f>VLOOKUP(B250,Tabela4[],3,FALSE)</f>
        <v>São Paulo</v>
      </c>
      <c r="E250" s="16" t="s">
        <v>66</v>
      </c>
      <c r="F250" s="13">
        <f>VLOOKUP($K250,'FATURAMENTO '!$B$2:$F$302,4,FALSE)</f>
        <v>10846</v>
      </c>
      <c r="G250" s="13">
        <f>VLOOKUP($K250,'FATURAMENTO '!$B$2:$F$302,5,FALSE)</f>
        <v>8446.7199999999993</v>
      </c>
      <c r="H250" s="5" t="str">
        <f>VLOOKUP($K250,CHURN!$A$2:$E$302,4,FALSE)</f>
        <v>Cancelado</v>
      </c>
      <c r="I250" s="11">
        <f t="shared" si="9"/>
        <v>0.22121335054397942</v>
      </c>
      <c r="J250" s="14" t="str">
        <f t="shared" si="10"/>
        <v>Baixo valor</v>
      </c>
      <c r="K250" t="str">
        <f t="shared" si="11"/>
        <v>AP2025-01</v>
      </c>
      <c r="L250" s="5"/>
    </row>
    <row r="251" spans="2:12" x14ac:dyDescent="0.35">
      <c r="B251" s="5" t="s">
        <v>57</v>
      </c>
      <c r="C251" s="5" t="str">
        <f>VLOOKUP(B251,Tabela4[],2,FALSE)</f>
        <v>Pequena</v>
      </c>
      <c r="D251" s="12" t="str">
        <f>VLOOKUP(B251,Tabela4[],3,FALSE)</f>
        <v>São Paulo</v>
      </c>
      <c r="E251" s="16" t="s">
        <v>67</v>
      </c>
      <c r="F251" s="13">
        <f>VLOOKUP($K251,'FATURAMENTO '!$B$2:$F$302,4,FALSE)</f>
        <v>49109</v>
      </c>
      <c r="G251" s="13">
        <f>VLOOKUP($K251,'FATURAMENTO '!$B$2:$F$302,5,FALSE)</f>
        <v>29662.54</v>
      </c>
      <c r="H251" s="5" t="str">
        <f>VLOOKUP($K251,CHURN!$A$2:$E$302,4,FALSE)</f>
        <v>Ativo</v>
      </c>
      <c r="I251" s="11">
        <f t="shared" si="9"/>
        <v>0.39598566454214096</v>
      </c>
      <c r="J251" s="14" t="str">
        <f t="shared" si="10"/>
        <v>Baixo valor</v>
      </c>
      <c r="K251" t="str">
        <f t="shared" si="11"/>
        <v>AP2025-02</v>
      </c>
      <c r="L251" s="5"/>
    </row>
    <row r="252" spans="2:12" x14ac:dyDescent="0.35">
      <c r="B252" s="5" t="s">
        <v>57</v>
      </c>
      <c r="C252" s="5" t="str">
        <f>VLOOKUP(B252,Tabela4[],2,FALSE)</f>
        <v>Pequena</v>
      </c>
      <c r="D252" s="12" t="str">
        <f>VLOOKUP(B252,Tabela4[],3,FALSE)</f>
        <v>São Paulo</v>
      </c>
      <c r="E252" s="16" t="s">
        <v>88</v>
      </c>
      <c r="F252" s="13">
        <f>VLOOKUP($K252,'FATURAMENTO '!$B$2:$F$302,4,FALSE)</f>
        <v>14581</v>
      </c>
      <c r="G252" s="13">
        <f>VLOOKUP($K252,'FATURAMENTO '!$B$2:$F$302,5,FALSE)</f>
        <v>7722.65</v>
      </c>
      <c r="H252" s="5" t="str">
        <f>VLOOKUP($K252,CHURN!$A$2:$E$302,4,FALSE)</f>
        <v>Ativo</v>
      </c>
      <c r="I252" s="11">
        <f t="shared" si="9"/>
        <v>0.47036211508127018</v>
      </c>
      <c r="J252" s="14" t="str">
        <f t="shared" si="10"/>
        <v>Baixo valor</v>
      </c>
      <c r="K252" t="str">
        <f t="shared" si="11"/>
        <v>AP2025-03</v>
      </c>
      <c r="L252" s="5"/>
    </row>
    <row r="253" spans="2:12" x14ac:dyDescent="0.35">
      <c r="B253" s="5" t="s">
        <v>57</v>
      </c>
      <c r="C253" s="5" t="str">
        <f>VLOOKUP(B253,Tabela4[],2,FALSE)</f>
        <v>Pequena</v>
      </c>
      <c r="D253" s="12" t="str">
        <f>VLOOKUP(B253,Tabela4[],3,FALSE)</f>
        <v>São Paulo</v>
      </c>
      <c r="E253" s="16" t="s">
        <v>68</v>
      </c>
      <c r="F253" s="13">
        <f>VLOOKUP($K253,'FATURAMENTO '!$B$2:$F$302,4,FALSE)</f>
        <v>48615</v>
      </c>
      <c r="G253" s="13">
        <f>VLOOKUP($K253,'FATURAMENTO '!$B$2:$F$302,5,FALSE)</f>
        <v>35548.629999999997</v>
      </c>
      <c r="H253" s="5" t="str">
        <f>VLOOKUP($K253,CHURN!$A$2:$E$302,4,FALSE)</f>
        <v>Ativo</v>
      </c>
      <c r="I253" s="11">
        <f t="shared" si="9"/>
        <v>0.2687723953512291</v>
      </c>
      <c r="J253" s="14" t="str">
        <f t="shared" si="10"/>
        <v>Baixo valor</v>
      </c>
      <c r="K253" t="str">
        <f t="shared" si="11"/>
        <v>AP2025-04</v>
      </c>
      <c r="L253" s="5"/>
    </row>
    <row r="254" spans="2:12" x14ac:dyDescent="0.35">
      <c r="B254" s="5" t="s">
        <v>57</v>
      </c>
      <c r="C254" s="5" t="str">
        <f>VLOOKUP(B254,Tabela4[],2,FALSE)</f>
        <v>Pequena</v>
      </c>
      <c r="D254" s="12" t="str">
        <f>VLOOKUP(B254,Tabela4[],3,FALSE)</f>
        <v>São Paulo</v>
      </c>
      <c r="E254" s="16" t="s">
        <v>69</v>
      </c>
      <c r="F254" s="13">
        <f>VLOOKUP($K254,'FATURAMENTO '!$B$2:$F$302,4,FALSE)</f>
        <v>19053</v>
      </c>
      <c r="G254" s="13">
        <f>VLOOKUP($K254,'FATURAMENTO '!$B$2:$F$302,5,FALSE)</f>
        <v>11561.88</v>
      </c>
      <c r="H254" s="5" t="str">
        <f>VLOOKUP($K254,CHURN!$A$2:$E$302,4,FALSE)</f>
        <v>Cancelado</v>
      </c>
      <c r="I254" s="11">
        <f t="shared" si="9"/>
        <v>0.39317272870414111</v>
      </c>
      <c r="J254" s="14" t="str">
        <f t="shared" si="10"/>
        <v>Baixo valor</v>
      </c>
      <c r="K254" t="str">
        <f t="shared" si="11"/>
        <v>AP2025-05</v>
      </c>
      <c r="L254" s="5"/>
    </row>
    <row r="255" spans="2:12" x14ac:dyDescent="0.35">
      <c r="B255" s="5" t="s">
        <v>58</v>
      </c>
      <c r="C255" s="5" t="str">
        <f>VLOOKUP(B255,Tabela4[],2,FALSE)</f>
        <v>Grande</v>
      </c>
      <c r="D255" s="12" t="str">
        <f>VLOOKUP(B255,Tabela4[],3,FALSE)</f>
        <v>Rio de Janeiro</v>
      </c>
      <c r="E255" s="16" t="s">
        <v>6</v>
      </c>
      <c r="F255" s="13">
        <f>VLOOKUP($K255,'FATURAMENTO '!$B$2:$F$302,4,FALSE)</f>
        <v>3142</v>
      </c>
      <c r="G255" s="13">
        <f>VLOOKUP($K255,'FATURAMENTO '!$B$2:$F$302,5,FALSE)</f>
        <v>2045.59</v>
      </c>
      <c r="H255" s="5" t="str">
        <f>VLOOKUP($K255,CHURN!$A$2:$E$302,4,FALSE)</f>
        <v>Ativo</v>
      </c>
      <c r="I255" s="11">
        <f t="shared" si="9"/>
        <v>0.34895289624443032</v>
      </c>
      <c r="J255" s="14" t="str">
        <f t="shared" si="10"/>
        <v>Médio valor</v>
      </c>
      <c r="K255" t="str">
        <f t="shared" si="11"/>
        <v>AQ2024-12</v>
      </c>
      <c r="L255" s="5"/>
    </row>
    <row r="256" spans="2:12" x14ac:dyDescent="0.35">
      <c r="B256" s="5" t="s">
        <v>58</v>
      </c>
      <c r="C256" s="5" t="str">
        <f>VLOOKUP(B256,Tabela4[],2,FALSE)</f>
        <v>Grande</v>
      </c>
      <c r="D256" s="12" t="str">
        <f>VLOOKUP(B256,Tabela4[],3,FALSE)</f>
        <v>Rio de Janeiro</v>
      </c>
      <c r="E256" s="16" t="s">
        <v>66</v>
      </c>
      <c r="F256" s="13">
        <f>VLOOKUP($K256,'FATURAMENTO '!$B$2:$F$302,4,FALSE)</f>
        <v>31278</v>
      </c>
      <c r="G256" s="13">
        <f>VLOOKUP($K256,'FATURAMENTO '!$B$2:$F$302,5,FALSE)</f>
        <v>15750.59</v>
      </c>
      <c r="H256" s="5" t="str">
        <f>VLOOKUP($K256,CHURN!$A$2:$E$302,4,FALSE)</f>
        <v>Ativo</v>
      </c>
      <c r="I256" s="11">
        <f t="shared" si="9"/>
        <v>0.49643231664428672</v>
      </c>
      <c r="J256" s="14" t="str">
        <f t="shared" si="10"/>
        <v>Médio valor</v>
      </c>
      <c r="K256" t="str">
        <f t="shared" si="11"/>
        <v>AQ2025-01</v>
      </c>
      <c r="L256" s="5"/>
    </row>
    <row r="257" spans="2:12" x14ac:dyDescent="0.35">
      <c r="B257" s="5" t="s">
        <v>58</v>
      </c>
      <c r="C257" s="5" t="str">
        <f>VLOOKUP(B257,Tabela4[],2,FALSE)</f>
        <v>Grande</v>
      </c>
      <c r="D257" s="12" t="str">
        <f>VLOOKUP(B257,Tabela4[],3,FALSE)</f>
        <v>Rio de Janeiro</v>
      </c>
      <c r="E257" s="16" t="s">
        <v>67</v>
      </c>
      <c r="F257" s="13">
        <f>VLOOKUP($K257,'FATURAMENTO '!$B$2:$F$302,4,FALSE)</f>
        <v>29699</v>
      </c>
      <c r="G257" s="13">
        <f>VLOOKUP($K257,'FATURAMENTO '!$B$2:$F$302,5,FALSE)</f>
        <v>22527.040000000001</v>
      </c>
      <c r="H257" s="5" t="str">
        <f>VLOOKUP($K257,CHURN!$A$2:$E$302,4,FALSE)</f>
        <v>Cancelado</v>
      </c>
      <c r="I257" s="11">
        <f t="shared" si="9"/>
        <v>0.24148826559816827</v>
      </c>
      <c r="J257" s="14" t="str">
        <f t="shared" si="10"/>
        <v>Médio valor</v>
      </c>
      <c r="K257" t="str">
        <f t="shared" si="11"/>
        <v>AQ2025-02</v>
      </c>
      <c r="L257" s="5"/>
    </row>
    <row r="258" spans="2:12" x14ac:dyDescent="0.35">
      <c r="B258" s="5" t="s">
        <v>58</v>
      </c>
      <c r="C258" s="5" t="str">
        <f>VLOOKUP(B258,Tabela4[],2,FALSE)</f>
        <v>Grande</v>
      </c>
      <c r="D258" s="12" t="str">
        <f>VLOOKUP(B258,Tabela4[],3,FALSE)</f>
        <v>Rio de Janeiro</v>
      </c>
      <c r="E258" s="16" t="s">
        <v>88</v>
      </c>
      <c r="F258" s="13">
        <f>VLOOKUP($K258,'FATURAMENTO '!$B$2:$F$302,4,FALSE)</f>
        <v>26942</v>
      </c>
      <c r="G258" s="13">
        <f>VLOOKUP($K258,'FATURAMENTO '!$B$2:$F$302,5,FALSE)</f>
        <v>21009.39</v>
      </c>
      <c r="H258" s="5" t="str">
        <f>VLOOKUP($K258,CHURN!$A$2:$E$302,4,FALSE)</f>
        <v>Ativo</v>
      </c>
      <c r="I258" s="11">
        <f t="shared" si="9"/>
        <v>0.22019931705144385</v>
      </c>
      <c r="J258" s="14" t="str">
        <f t="shared" si="10"/>
        <v>Médio valor</v>
      </c>
      <c r="K258" t="str">
        <f t="shared" si="11"/>
        <v>AQ2025-03</v>
      </c>
      <c r="L258" s="5"/>
    </row>
    <row r="259" spans="2:12" x14ac:dyDescent="0.35">
      <c r="B259" s="5" t="s">
        <v>58</v>
      </c>
      <c r="C259" s="5" t="str">
        <f>VLOOKUP(B259,Tabela4[],2,FALSE)</f>
        <v>Grande</v>
      </c>
      <c r="D259" s="12" t="str">
        <f>VLOOKUP(B259,Tabela4[],3,FALSE)</f>
        <v>Rio de Janeiro</v>
      </c>
      <c r="E259" s="16" t="s">
        <v>68</v>
      </c>
      <c r="F259" s="13">
        <f>VLOOKUP($K259,'FATURAMENTO '!$B$2:$F$302,4,FALSE)</f>
        <v>23327</v>
      </c>
      <c r="G259" s="13">
        <f>VLOOKUP($K259,'FATURAMENTO '!$B$2:$F$302,5,FALSE)</f>
        <v>14661.83</v>
      </c>
      <c r="H259" s="5" t="str">
        <f>VLOOKUP($K259,CHURN!$A$2:$E$302,4,FALSE)</f>
        <v>Ativo</v>
      </c>
      <c r="I259" s="11">
        <f t="shared" si="9"/>
        <v>0.37146525485488918</v>
      </c>
      <c r="J259" s="14" t="str">
        <f t="shared" si="10"/>
        <v>Médio valor</v>
      </c>
      <c r="K259" t="str">
        <f t="shared" si="11"/>
        <v>AQ2025-04</v>
      </c>
      <c r="L259" s="5"/>
    </row>
    <row r="260" spans="2:12" x14ac:dyDescent="0.35">
      <c r="B260" s="5" t="s">
        <v>58</v>
      </c>
      <c r="C260" s="5" t="str">
        <f>VLOOKUP(B260,Tabela4[],2,FALSE)</f>
        <v>Grande</v>
      </c>
      <c r="D260" s="12" t="str">
        <f>VLOOKUP(B260,Tabela4[],3,FALSE)</f>
        <v>Rio de Janeiro</v>
      </c>
      <c r="E260" s="16" t="s">
        <v>69</v>
      </c>
      <c r="F260" s="13">
        <f>VLOOKUP($K260,'FATURAMENTO '!$B$2:$F$302,4,FALSE)</f>
        <v>32952</v>
      </c>
      <c r="G260" s="13">
        <f>VLOOKUP($K260,'FATURAMENTO '!$B$2:$F$302,5,FALSE)</f>
        <v>23166.99</v>
      </c>
      <c r="H260" s="5" t="str">
        <f>VLOOKUP($K260,CHURN!$A$2:$E$302,4,FALSE)</f>
        <v>Cancelado</v>
      </c>
      <c r="I260" s="11">
        <f t="shared" ref="I260:I302" si="12">(F260-G260)/F260</f>
        <v>0.29694737800436993</v>
      </c>
      <c r="J260" s="14" t="str">
        <f t="shared" ref="J260:J302" si="13">IF(INDEX($I$3:$I$302,MATCH(B260,$B$3:$B$302,0))&gt;50%,"Alto valor",IF(INDEX($I$3:$I$302,MATCH(B260,$B$3:$B$302,0))&gt;=30%,"Médio valor","Baixo valor"))</f>
        <v>Médio valor</v>
      </c>
      <c r="K260" t="str">
        <f t="shared" ref="K260:K302" si="14">CONCATENATE(B260,E260)</f>
        <v>AQ2025-05</v>
      </c>
      <c r="L260" s="5"/>
    </row>
    <row r="261" spans="2:12" x14ac:dyDescent="0.35">
      <c r="B261" s="5" t="s">
        <v>59</v>
      </c>
      <c r="C261" s="5" t="str">
        <f>VLOOKUP(B261,Tabela4[],2,FALSE)</f>
        <v>Média</v>
      </c>
      <c r="D261" s="12" t="str">
        <f>VLOOKUP(B261,Tabela4[],3,FALSE)</f>
        <v>Pernambuco</v>
      </c>
      <c r="E261" s="16" t="s">
        <v>6</v>
      </c>
      <c r="F261" s="13">
        <f>VLOOKUP($K261,'FATURAMENTO '!$B$2:$F$302,4,FALSE)</f>
        <v>23453</v>
      </c>
      <c r="G261" s="13">
        <f>VLOOKUP($K261,'FATURAMENTO '!$B$2:$F$302,5,FALSE)</f>
        <v>12067.83</v>
      </c>
      <c r="H261" s="5" t="str">
        <f>VLOOKUP($K261,CHURN!$A$2:$E$302,4,FALSE)</f>
        <v>Ativo</v>
      </c>
      <c r="I261" s="11">
        <f t="shared" si="12"/>
        <v>0.48544621157208034</v>
      </c>
      <c r="J261" s="14" t="str">
        <f t="shared" si="13"/>
        <v>Médio valor</v>
      </c>
      <c r="K261" t="str">
        <f t="shared" si="14"/>
        <v>AR2024-12</v>
      </c>
      <c r="L261" s="5"/>
    </row>
    <row r="262" spans="2:12" x14ac:dyDescent="0.35">
      <c r="B262" s="5" t="s">
        <v>59</v>
      </c>
      <c r="C262" s="5" t="str">
        <f>VLOOKUP(B262,Tabela4[],2,FALSE)</f>
        <v>Média</v>
      </c>
      <c r="D262" s="12" t="str">
        <f>VLOOKUP(B262,Tabela4[],3,FALSE)</f>
        <v>Pernambuco</v>
      </c>
      <c r="E262" s="16" t="s">
        <v>66</v>
      </c>
      <c r="F262" s="13">
        <f>VLOOKUP($K262,'FATURAMENTO '!$B$2:$F$302,4,FALSE)</f>
        <v>43994</v>
      </c>
      <c r="G262" s="13">
        <f>VLOOKUP($K262,'FATURAMENTO '!$B$2:$F$302,5,FALSE)</f>
        <v>34446.699999999997</v>
      </c>
      <c r="H262" s="5" t="str">
        <f>VLOOKUP($K262,CHURN!$A$2:$E$302,4,FALSE)</f>
        <v>Ativo</v>
      </c>
      <c r="I262" s="11">
        <f t="shared" si="12"/>
        <v>0.21701368368413881</v>
      </c>
      <c r="J262" s="14" t="str">
        <f t="shared" si="13"/>
        <v>Médio valor</v>
      </c>
      <c r="K262" t="str">
        <f t="shared" si="14"/>
        <v>AR2025-01</v>
      </c>
      <c r="L262" s="5"/>
    </row>
    <row r="263" spans="2:12" x14ac:dyDescent="0.35">
      <c r="B263" s="5" t="s">
        <v>59</v>
      </c>
      <c r="C263" s="5" t="str">
        <f>VLOOKUP(B263,Tabela4[],2,FALSE)</f>
        <v>Média</v>
      </c>
      <c r="D263" s="12" t="str">
        <f>VLOOKUP(B263,Tabela4[],3,FALSE)</f>
        <v>Pernambuco</v>
      </c>
      <c r="E263" s="16" t="s">
        <v>67</v>
      </c>
      <c r="F263" s="13">
        <f>VLOOKUP($K263,'FATURAMENTO '!$B$2:$F$302,4,FALSE)</f>
        <v>41766</v>
      </c>
      <c r="G263" s="13">
        <f>VLOOKUP($K263,'FATURAMENTO '!$B$2:$F$302,5,FALSE)</f>
        <v>24973.86</v>
      </c>
      <c r="H263" s="5" t="str">
        <f>VLOOKUP($K263,CHURN!$A$2:$E$302,4,FALSE)</f>
        <v>Ativo</v>
      </c>
      <c r="I263" s="11">
        <f t="shared" si="12"/>
        <v>0.40205286596753337</v>
      </c>
      <c r="J263" s="14" t="str">
        <f t="shared" si="13"/>
        <v>Médio valor</v>
      </c>
      <c r="K263" t="str">
        <f t="shared" si="14"/>
        <v>AR2025-02</v>
      </c>
      <c r="L263" s="5"/>
    </row>
    <row r="264" spans="2:12" x14ac:dyDescent="0.35">
      <c r="B264" s="5" t="s">
        <v>59</v>
      </c>
      <c r="C264" s="5" t="str">
        <f>VLOOKUP(B264,Tabela4[],2,FALSE)</f>
        <v>Média</v>
      </c>
      <c r="D264" s="12" t="str">
        <f>VLOOKUP(B264,Tabela4[],3,FALSE)</f>
        <v>Pernambuco</v>
      </c>
      <c r="E264" s="16" t="s">
        <v>88</v>
      </c>
      <c r="F264" s="13">
        <f>VLOOKUP($K264,'FATURAMENTO '!$B$2:$F$302,4,FALSE)</f>
        <v>21105</v>
      </c>
      <c r="G264" s="13">
        <f>VLOOKUP($K264,'FATURAMENTO '!$B$2:$F$302,5,FALSE)</f>
        <v>13020.6</v>
      </c>
      <c r="H264" s="5" t="str">
        <f>VLOOKUP($K264,CHURN!$A$2:$E$302,4,FALSE)</f>
        <v>Cancelado</v>
      </c>
      <c r="I264" s="11">
        <f t="shared" si="12"/>
        <v>0.38305614783226721</v>
      </c>
      <c r="J264" s="14" t="str">
        <f t="shared" si="13"/>
        <v>Médio valor</v>
      </c>
      <c r="K264" t="str">
        <f t="shared" si="14"/>
        <v>AR2025-03</v>
      </c>
      <c r="L264" s="5"/>
    </row>
    <row r="265" spans="2:12" x14ac:dyDescent="0.35">
      <c r="B265" s="5" t="s">
        <v>59</v>
      </c>
      <c r="C265" s="5" t="str">
        <f>VLOOKUP(B265,Tabela4[],2,FALSE)</f>
        <v>Média</v>
      </c>
      <c r="D265" s="12" t="str">
        <f>VLOOKUP(B265,Tabela4[],3,FALSE)</f>
        <v>Pernambuco</v>
      </c>
      <c r="E265" s="16" t="s">
        <v>68</v>
      </c>
      <c r="F265" s="13">
        <f>VLOOKUP($K265,'FATURAMENTO '!$B$2:$F$302,4,FALSE)</f>
        <v>23131</v>
      </c>
      <c r="G265" s="13">
        <f>VLOOKUP($K265,'FATURAMENTO '!$B$2:$F$302,5,FALSE)</f>
        <v>15599.38</v>
      </c>
      <c r="H265" s="5" t="str">
        <f>VLOOKUP($K265,CHURN!$A$2:$E$302,4,FALSE)</f>
        <v>Ativo</v>
      </c>
      <c r="I265" s="11">
        <f t="shared" si="12"/>
        <v>0.32560719380917386</v>
      </c>
      <c r="J265" s="14" t="str">
        <f t="shared" si="13"/>
        <v>Médio valor</v>
      </c>
      <c r="K265" t="str">
        <f t="shared" si="14"/>
        <v>AR2025-04</v>
      </c>
      <c r="L265" s="5"/>
    </row>
    <row r="266" spans="2:12" x14ac:dyDescent="0.35">
      <c r="B266" s="5" t="s">
        <v>59</v>
      </c>
      <c r="C266" s="5" t="str">
        <f>VLOOKUP(B266,Tabela4[],2,FALSE)</f>
        <v>Média</v>
      </c>
      <c r="D266" s="12" t="str">
        <f>VLOOKUP(B266,Tabela4[],3,FALSE)</f>
        <v>Pernambuco</v>
      </c>
      <c r="E266" s="16" t="s">
        <v>69</v>
      </c>
      <c r="F266" s="13">
        <f>VLOOKUP($K266,'FATURAMENTO '!$B$2:$F$302,4,FALSE)</f>
        <v>37588</v>
      </c>
      <c r="G266" s="13">
        <f>VLOOKUP($K266,'FATURAMENTO '!$B$2:$F$302,5,FALSE)</f>
        <v>24740.71</v>
      </c>
      <c r="H266" s="5" t="str">
        <f>VLOOKUP($K266,CHURN!$A$2:$E$302,4,FALSE)</f>
        <v>Ativo</v>
      </c>
      <c r="I266" s="11">
        <f t="shared" si="12"/>
        <v>0.34179232733851234</v>
      </c>
      <c r="J266" s="14" t="str">
        <f t="shared" si="13"/>
        <v>Médio valor</v>
      </c>
      <c r="K266" t="str">
        <f t="shared" si="14"/>
        <v>AR2025-05</v>
      </c>
      <c r="L266" s="5"/>
    </row>
    <row r="267" spans="2:12" x14ac:dyDescent="0.35">
      <c r="B267" s="5" t="s">
        <v>60</v>
      </c>
      <c r="C267" s="5" t="str">
        <f>VLOOKUP(B267,Tabela4[],2,FALSE)</f>
        <v>Grande</v>
      </c>
      <c r="D267" s="12" t="str">
        <f>VLOOKUP(B267,Tabela4[],3,FALSE)</f>
        <v>Paraná</v>
      </c>
      <c r="E267" s="16" t="s">
        <v>6</v>
      </c>
      <c r="F267" s="13">
        <f>VLOOKUP($K267,'FATURAMENTO '!$B$2:$F$302,4,FALSE)</f>
        <v>8913</v>
      </c>
      <c r="G267" s="13">
        <f>VLOOKUP($K267,'FATURAMENTO '!$B$2:$F$302,5,FALSE)</f>
        <v>6560.5</v>
      </c>
      <c r="H267" s="5" t="str">
        <f>VLOOKUP($K267,CHURN!$A$2:$E$302,4,FALSE)</f>
        <v>Ativo</v>
      </c>
      <c r="I267" s="11">
        <f t="shared" si="12"/>
        <v>0.2639403119039605</v>
      </c>
      <c r="J267" s="14" t="str">
        <f t="shared" si="13"/>
        <v>Baixo valor</v>
      </c>
      <c r="K267" t="str">
        <f t="shared" si="14"/>
        <v>AS2024-12</v>
      </c>
      <c r="L267" s="5"/>
    </row>
    <row r="268" spans="2:12" x14ac:dyDescent="0.35">
      <c r="B268" s="5" t="s">
        <v>60</v>
      </c>
      <c r="C268" s="5" t="str">
        <f>VLOOKUP(B268,Tabela4[],2,FALSE)</f>
        <v>Grande</v>
      </c>
      <c r="D268" s="12" t="str">
        <f>VLOOKUP(B268,Tabela4[],3,FALSE)</f>
        <v>Paraná</v>
      </c>
      <c r="E268" s="16" t="s">
        <v>66</v>
      </c>
      <c r="F268" s="13">
        <f>VLOOKUP($K268,'FATURAMENTO '!$B$2:$F$302,4,FALSE)</f>
        <v>30440</v>
      </c>
      <c r="G268" s="13">
        <f>VLOOKUP($K268,'FATURAMENTO '!$B$2:$F$302,5,FALSE)</f>
        <v>22439.75</v>
      </c>
      <c r="H268" s="5" t="str">
        <f>VLOOKUP($K268,CHURN!$A$2:$E$302,4,FALSE)</f>
        <v>Ativo</v>
      </c>
      <c r="I268" s="11">
        <f t="shared" si="12"/>
        <v>0.26282030223390274</v>
      </c>
      <c r="J268" s="14" t="str">
        <f t="shared" si="13"/>
        <v>Baixo valor</v>
      </c>
      <c r="K268" t="str">
        <f t="shared" si="14"/>
        <v>AS2025-01</v>
      </c>
      <c r="L268" s="5"/>
    </row>
    <row r="269" spans="2:12" x14ac:dyDescent="0.35">
      <c r="B269" s="5" t="s">
        <v>60</v>
      </c>
      <c r="C269" s="5" t="str">
        <f>VLOOKUP(B269,Tabela4[],2,FALSE)</f>
        <v>Grande</v>
      </c>
      <c r="D269" s="12" t="str">
        <f>VLOOKUP(B269,Tabela4[],3,FALSE)</f>
        <v>Paraná</v>
      </c>
      <c r="E269" s="16" t="s">
        <v>67</v>
      </c>
      <c r="F269" s="13">
        <f>VLOOKUP($K269,'FATURAMENTO '!$B$2:$F$302,4,FALSE)</f>
        <v>9926</v>
      </c>
      <c r="G269" s="13">
        <f>VLOOKUP($K269,'FATURAMENTO '!$B$2:$F$302,5,FALSE)</f>
        <v>6261.24</v>
      </c>
      <c r="H269" s="5" t="str">
        <f>VLOOKUP($K269,CHURN!$A$2:$E$302,4,FALSE)</f>
        <v>Cancelado</v>
      </c>
      <c r="I269" s="11">
        <f t="shared" si="12"/>
        <v>0.36920814023775944</v>
      </c>
      <c r="J269" s="14" t="str">
        <f t="shared" si="13"/>
        <v>Baixo valor</v>
      </c>
      <c r="K269" t="str">
        <f t="shared" si="14"/>
        <v>AS2025-02</v>
      </c>
      <c r="L269" s="5"/>
    </row>
    <row r="270" spans="2:12" x14ac:dyDescent="0.35">
      <c r="B270" s="5" t="s">
        <v>60</v>
      </c>
      <c r="C270" s="5" t="str">
        <f>VLOOKUP(B270,Tabela4[],2,FALSE)</f>
        <v>Grande</v>
      </c>
      <c r="D270" s="12" t="str">
        <f>VLOOKUP(B270,Tabela4[],3,FALSE)</f>
        <v>Paraná</v>
      </c>
      <c r="E270" s="16" t="s">
        <v>88</v>
      </c>
      <c r="F270" s="13">
        <f>VLOOKUP($K270,'FATURAMENTO '!$B$2:$F$302,4,FALSE)</f>
        <v>5240</v>
      </c>
      <c r="G270" s="13">
        <f>VLOOKUP($K270,'FATURAMENTO '!$B$2:$F$302,5,FALSE)</f>
        <v>4101.4399999999996</v>
      </c>
      <c r="H270" s="5" t="str">
        <f>VLOOKUP($K270,CHURN!$A$2:$E$302,4,FALSE)</f>
        <v>Ativo</v>
      </c>
      <c r="I270" s="11">
        <f t="shared" si="12"/>
        <v>0.21728244274809169</v>
      </c>
      <c r="J270" s="14" t="str">
        <f t="shared" si="13"/>
        <v>Baixo valor</v>
      </c>
      <c r="K270" t="str">
        <f t="shared" si="14"/>
        <v>AS2025-03</v>
      </c>
      <c r="L270" s="5"/>
    </row>
    <row r="271" spans="2:12" x14ac:dyDescent="0.35">
      <c r="B271" s="5" t="s">
        <v>60</v>
      </c>
      <c r="C271" s="5" t="str">
        <f>VLOOKUP(B271,Tabela4[],2,FALSE)</f>
        <v>Grande</v>
      </c>
      <c r="D271" s="12" t="str">
        <f>VLOOKUP(B271,Tabela4[],3,FALSE)</f>
        <v>Paraná</v>
      </c>
      <c r="E271" s="16" t="s">
        <v>68</v>
      </c>
      <c r="F271" s="13">
        <f>VLOOKUP($K271,'FATURAMENTO '!$B$2:$F$302,4,FALSE)</f>
        <v>4200</v>
      </c>
      <c r="G271" s="13">
        <f>VLOOKUP($K271,'FATURAMENTO '!$B$2:$F$302,5,FALSE)</f>
        <v>2197.66</v>
      </c>
      <c r="H271" s="5" t="str">
        <f>VLOOKUP($K271,CHURN!$A$2:$E$302,4,FALSE)</f>
        <v>Ativo</v>
      </c>
      <c r="I271" s="11">
        <f t="shared" si="12"/>
        <v>0.47674761904761909</v>
      </c>
      <c r="J271" s="14" t="str">
        <f t="shared" si="13"/>
        <v>Baixo valor</v>
      </c>
      <c r="K271" t="str">
        <f t="shared" si="14"/>
        <v>AS2025-04</v>
      </c>
      <c r="L271" s="5"/>
    </row>
    <row r="272" spans="2:12" x14ac:dyDescent="0.35">
      <c r="B272" s="5" t="s">
        <v>60</v>
      </c>
      <c r="C272" s="5" t="str">
        <f>VLOOKUP(B272,Tabela4[],2,FALSE)</f>
        <v>Grande</v>
      </c>
      <c r="D272" s="12" t="str">
        <f>VLOOKUP(B272,Tabela4[],3,FALSE)</f>
        <v>Paraná</v>
      </c>
      <c r="E272" s="16" t="s">
        <v>69</v>
      </c>
      <c r="F272" s="13">
        <f>VLOOKUP($K272,'FATURAMENTO '!$B$2:$F$302,4,FALSE)</f>
        <v>27942</v>
      </c>
      <c r="G272" s="13">
        <f>VLOOKUP($K272,'FATURAMENTO '!$B$2:$F$302,5,FALSE)</f>
        <v>19425.04</v>
      </c>
      <c r="H272" s="5" t="str">
        <f>VLOOKUP($K272,CHURN!$A$2:$E$302,4,FALSE)</f>
        <v>Cancelado</v>
      </c>
      <c r="I272" s="11">
        <f t="shared" si="12"/>
        <v>0.30480853195905799</v>
      </c>
      <c r="J272" s="14" t="str">
        <f t="shared" si="13"/>
        <v>Baixo valor</v>
      </c>
      <c r="K272" t="str">
        <f t="shared" si="14"/>
        <v>AS2025-05</v>
      </c>
      <c r="L272" s="5"/>
    </row>
    <row r="273" spans="2:12" x14ac:dyDescent="0.35">
      <c r="B273" s="5" t="s">
        <v>61</v>
      </c>
      <c r="C273" s="5" t="str">
        <f>VLOOKUP(B273,Tabela4[],2,FALSE)</f>
        <v>Média</v>
      </c>
      <c r="D273" s="12" t="str">
        <f>VLOOKUP(B273,Tabela4[],3,FALSE)</f>
        <v>Rio Grande do Sul</v>
      </c>
      <c r="E273" s="16" t="s">
        <v>6</v>
      </c>
      <c r="F273" s="13">
        <f>VLOOKUP($K273,'FATURAMENTO '!$B$2:$F$302,4,FALSE)</f>
        <v>37061</v>
      </c>
      <c r="G273" s="13">
        <f>VLOOKUP($K273,'FATURAMENTO '!$B$2:$F$302,5,FALSE)</f>
        <v>22688.76</v>
      </c>
      <c r="H273" s="5" t="str">
        <f>VLOOKUP($K273,CHURN!$A$2:$E$302,4,FALSE)</f>
        <v>Cancelado</v>
      </c>
      <c r="I273" s="11">
        <f t="shared" si="12"/>
        <v>0.38779957367583179</v>
      </c>
      <c r="J273" s="14" t="str">
        <f t="shared" si="13"/>
        <v>Médio valor</v>
      </c>
      <c r="K273" t="str">
        <f t="shared" si="14"/>
        <v>AT2024-12</v>
      </c>
      <c r="L273" s="5"/>
    </row>
    <row r="274" spans="2:12" x14ac:dyDescent="0.35">
      <c r="B274" s="5" t="s">
        <v>61</v>
      </c>
      <c r="C274" s="5" t="str">
        <f>VLOOKUP(B274,Tabela4[],2,FALSE)</f>
        <v>Média</v>
      </c>
      <c r="D274" s="12" t="str">
        <f>VLOOKUP(B274,Tabela4[],3,FALSE)</f>
        <v>Rio Grande do Sul</v>
      </c>
      <c r="E274" s="16" t="s">
        <v>66</v>
      </c>
      <c r="F274" s="13">
        <f>VLOOKUP($K274,'FATURAMENTO '!$B$2:$F$302,4,FALSE)</f>
        <v>22830</v>
      </c>
      <c r="G274" s="13">
        <f>VLOOKUP($K274,'FATURAMENTO '!$B$2:$F$302,5,FALSE)</f>
        <v>15899.88</v>
      </c>
      <c r="H274" s="5" t="str">
        <f>VLOOKUP($K274,CHURN!$A$2:$E$302,4,FALSE)</f>
        <v>Ativo</v>
      </c>
      <c r="I274" s="11">
        <f t="shared" si="12"/>
        <v>0.30355321944809466</v>
      </c>
      <c r="J274" s="14" t="str">
        <f t="shared" si="13"/>
        <v>Médio valor</v>
      </c>
      <c r="K274" t="str">
        <f t="shared" si="14"/>
        <v>AT2025-01</v>
      </c>
      <c r="L274" s="5"/>
    </row>
    <row r="275" spans="2:12" x14ac:dyDescent="0.35">
      <c r="B275" s="5" t="s">
        <v>61</v>
      </c>
      <c r="C275" s="5" t="str">
        <f>VLOOKUP(B275,Tabela4[],2,FALSE)</f>
        <v>Média</v>
      </c>
      <c r="D275" s="12" t="str">
        <f>VLOOKUP(B275,Tabela4[],3,FALSE)</f>
        <v>Rio Grande do Sul</v>
      </c>
      <c r="E275" s="16" t="s">
        <v>67</v>
      </c>
      <c r="F275" s="13">
        <f>VLOOKUP($K275,'FATURAMENTO '!$B$2:$F$302,4,FALSE)</f>
        <v>14502</v>
      </c>
      <c r="G275" s="13">
        <f>VLOOKUP($K275,'FATURAMENTO '!$B$2:$F$302,5,FALSE)</f>
        <v>8504.81</v>
      </c>
      <c r="H275" s="5" t="str">
        <f>VLOOKUP($K275,CHURN!$A$2:$E$302,4,FALSE)</f>
        <v>Ativo</v>
      </c>
      <c r="I275" s="11">
        <f t="shared" si="12"/>
        <v>0.41354227003171978</v>
      </c>
      <c r="J275" s="14" t="str">
        <f t="shared" si="13"/>
        <v>Médio valor</v>
      </c>
      <c r="K275" t="str">
        <f t="shared" si="14"/>
        <v>AT2025-02</v>
      </c>
      <c r="L275" s="5"/>
    </row>
    <row r="276" spans="2:12" x14ac:dyDescent="0.35">
      <c r="B276" s="5" t="s">
        <v>61</v>
      </c>
      <c r="C276" s="5" t="str">
        <f>VLOOKUP(B276,Tabela4[],2,FALSE)</f>
        <v>Média</v>
      </c>
      <c r="D276" s="12" t="str">
        <f>VLOOKUP(B276,Tabela4[],3,FALSE)</f>
        <v>Rio Grande do Sul</v>
      </c>
      <c r="E276" s="16" t="s">
        <v>88</v>
      </c>
      <c r="F276" s="13">
        <f>VLOOKUP($K276,'FATURAMENTO '!$B$2:$F$302,4,FALSE)</f>
        <v>18401</v>
      </c>
      <c r="G276" s="13">
        <f>VLOOKUP($K276,'FATURAMENTO '!$B$2:$F$302,5,FALSE)</f>
        <v>14365.3</v>
      </c>
      <c r="H276" s="5" t="str">
        <f>VLOOKUP($K276,CHURN!$A$2:$E$302,4,FALSE)</f>
        <v>Ativo</v>
      </c>
      <c r="I276" s="11">
        <f t="shared" si="12"/>
        <v>0.2193196021955329</v>
      </c>
      <c r="J276" s="14" t="str">
        <f t="shared" si="13"/>
        <v>Médio valor</v>
      </c>
      <c r="K276" t="str">
        <f t="shared" si="14"/>
        <v>AT2025-03</v>
      </c>
      <c r="L276" s="5"/>
    </row>
    <row r="277" spans="2:12" x14ac:dyDescent="0.35">
      <c r="B277" s="5" t="s">
        <v>61</v>
      </c>
      <c r="C277" s="5" t="str">
        <f>VLOOKUP(B277,Tabela4[],2,FALSE)</f>
        <v>Média</v>
      </c>
      <c r="D277" s="12" t="str">
        <f>VLOOKUP(B277,Tabela4[],3,FALSE)</f>
        <v>Rio Grande do Sul</v>
      </c>
      <c r="E277" s="16" t="s">
        <v>68</v>
      </c>
      <c r="F277" s="13">
        <f>VLOOKUP($K277,'FATURAMENTO '!$B$2:$F$302,4,FALSE)</f>
        <v>28430</v>
      </c>
      <c r="G277" s="13">
        <f>VLOOKUP($K277,'FATURAMENTO '!$B$2:$F$302,5,FALSE)</f>
        <v>18025.03</v>
      </c>
      <c r="H277" s="5" t="str">
        <f>VLOOKUP($K277,CHURN!$A$2:$E$302,4,FALSE)</f>
        <v>Ativo</v>
      </c>
      <c r="I277" s="11">
        <f t="shared" si="12"/>
        <v>0.36598557861414005</v>
      </c>
      <c r="J277" s="14" t="str">
        <f t="shared" si="13"/>
        <v>Médio valor</v>
      </c>
      <c r="K277" t="str">
        <f t="shared" si="14"/>
        <v>AT2025-04</v>
      </c>
      <c r="L277" s="5"/>
    </row>
    <row r="278" spans="2:12" x14ac:dyDescent="0.35">
      <c r="B278" s="5" t="s">
        <v>61</v>
      </c>
      <c r="C278" s="5" t="str">
        <f>VLOOKUP(B278,Tabela4[],2,FALSE)</f>
        <v>Média</v>
      </c>
      <c r="D278" s="12" t="str">
        <f>VLOOKUP(B278,Tabela4[],3,FALSE)</f>
        <v>Rio Grande do Sul</v>
      </c>
      <c r="E278" s="16" t="s">
        <v>69</v>
      </c>
      <c r="F278" s="13">
        <f>VLOOKUP($K278,'FATURAMENTO '!$B$2:$F$302,4,FALSE)</f>
        <v>48041</v>
      </c>
      <c r="G278" s="13">
        <f>VLOOKUP($K278,'FATURAMENTO '!$B$2:$F$302,5,FALSE)</f>
        <v>34255.050000000003</v>
      </c>
      <c r="H278" s="5" t="str">
        <f>VLOOKUP($K278,CHURN!$A$2:$E$302,4,FALSE)</f>
        <v>Ativo</v>
      </c>
      <c r="I278" s="11">
        <f t="shared" si="12"/>
        <v>0.28696217813950575</v>
      </c>
      <c r="J278" s="14" t="str">
        <f t="shared" si="13"/>
        <v>Médio valor</v>
      </c>
      <c r="K278" t="str">
        <f t="shared" si="14"/>
        <v>AT2025-05</v>
      </c>
      <c r="L278" s="5"/>
    </row>
    <row r="279" spans="2:12" x14ac:dyDescent="0.35">
      <c r="B279" s="5" t="s">
        <v>62</v>
      </c>
      <c r="C279" s="5" t="str">
        <f>VLOOKUP(B279,Tabela4[],2,FALSE)</f>
        <v>Grande</v>
      </c>
      <c r="D279" s="12" t="str">
        <f>VLOOKUP(B279,Tabela4[],3,FALSE)</f>
        <v>Ceará</v>
      </c>
      <c r="E279" s="16" t="s">
        <v>6</v>
      </c>
      <c r="F279" s="13">
        <f>VLOOKUP($K279,'FATURAMENTO '!$B$2:$F$302,4,FALSE)</f>
        <v>17706</v>
      </c>
      <c r="G279" s="13">
        <f>VLOOKUP($K279,'FATURAMENTO '!$B$2:$F$302,5,FALSE)</f>
        <v>9334.02</v>
      </c>
      <c r="H279" s="5" t="str">
        <f>VLOOKUP($K279,CHURN!$A$2:$E$302,4,FALSE)</f>
        <v>Ativo</v>
      </c>
      <c r="I279" s="11">
        <f t="shared" si="12"/>
        <v>0.472832937987123</v>
      </c>
      <c r="J279" s="14" t="str">
        <f t="shared" si="13"/>
        <v>Médio valor</v>
      </c>
      <c r="K279" t="str">
        <f t="shared" si="14"/>
        <v>AU2024-12</v>
      </c>
      <c r="L279" s="5"/>
    </row>
    <row r="280" spans="2:12" x14ac:dyDescent="0.35">
      <c r="B280" s="5" t="s">
        <v>62</v>
      </c>
      <c r="C280" s="5" t="str">
        <f>VLOOKUP(B280,Tabela4[],2,FALSE)</f>
        <v>Grande</v>
      </c>
      <c r="D280" s="12" t="str">
        <f>VLOOKUP(B280,Tabela4[],3,FALSE)</f>
        <v>Ceará</v>
      </c>
      <c r="E280" s="16" t="s">
        <v>66</v>
      </c>
      <c r="F280" s="13">
        <f>VLOOKUP($K280,'FATURAMENTO '!$B$2:$F$302,4,FALSE)</f>
        <v>10860</v>
      </c>
      <c r="G280" s="13">
        <f>VLOOKUP($K280,'FATURAMENTO '!$B$2:$F$302,5,FALSE)</f>
        <v>6655.81</v>
      </c>
      <c r="H280" s="5" t="str">
        <f>VLOOKUP($K280,CHURN!$A$2:$E$302,4,FALSE)</f>
        <v>Ativo</v>
      </c>
      <c r="I280" s="11">
        <f t="shared" si="12"/>
        <v>0.38712615101289133</v>
      </c>
      <c r="J280" s="14" t="str">
        <f t="shared" si="13"/>
        <v>Médio valor</v>
      </c>
      <c r="K280" t="str">
        <f t="shared" si="14"/>
        <v>AU2025-01</v>
      </c>
      <c r="L280" s="5"/>
    </row>
    <row r="281" spans="2:12" x14ac:dyDescent="0.35">
      <c r="B281" s="5" t="s">
        <v>62</v>
      </c>
      <c r="C281" s="5" t="str">
        <f>VLOOKUP(B281,Tabela4[],2,FALSE)</f>
        <v>Grande</v>
      </c>
      <c r="D281" s="12" t="str">
        <f>VLOOKUP(B281,Tabela4[],3,FALSE)</f>
        <v>Ceará</v>
      </c>
      <c r="E281" s="16" t="s">
        <v>67</v>
      </c>
      <c r="F281" s="13">
        <f>VLOOKUP($K281,'FATURAMENTO '!$B$2:$F$302,4,FALSE)</f>
        <v>34348</v>
      </c>
      <c r="G281" s="13">
        <f>VLOOKUP($K281,'FATURAMENTO '!$B$2:$F$302,5,FALSE)</f>
        <v>18815.189999999999</v>
      </c>
      <c r="H281" s="5" t="str">
        <f>VLOOKUP($K281,CHURN!$A$2:$E$302,4,FALSE)</f>
        <v>Ativo</v>
      </c>
      <c r="I281" s="11">
        <f t="shared" si="12"/>
        <v>0.45221876091766627</v>
      </c>
      <c r="J281" s="14" t="str">
        <f t="shared" si="13"/>
        <v>Médio valor</v>
      </c>
      <c r="K281" t="str">
        <f t="shared" si="14"/>
        <v>AU2025-02</v>
      </c>
      <c r="L281" s="5"/>
    </row>
    <row r="282" spans="2:12" x14ac:dyDescent="0.35">
      <c r="B282" s="5" t="s">
        <v>62</v>
      </c>
      <c r="C282" s="5" t="str">
        <f>VLOOKUP(B282,Tabela4[],2,FALSE)</f>
        <v>Grande</v>
      </c>
      <c r="D282" s="12" t="str">
        <f>VLOOKUP(B282,Tabela4[],3,FALSE)</f>
        <v>Ceará</v>
      </c>
      <c r="E282" s="16" t="s">
        <v>88</v>
      </c>
      <c r="F282" s="13">
        <f>VLOOKUP($K282,'FATURAMENTO '!$B$2:$F$302,4,FALSE)</f>
        <v>7197</v>
      </c>
      <c r="G282" s="13">
        <f>VLOOKUP($K282,'FATURAMENTO '!$B$2:$F$302,5,FALSE)</f>
        <v>3800.67</v>
      </c>
      <c r="H282" s="5" t="str">
        <f>VLOOKUP($K282,CHURN!$A$2:$E$302,4,FALSE)</f>
        <v>Ativo</v>
      </c>
      <c r="I282" s="11">
        <f t="shared" si="12"/>
        <v>0.4719091288036682</v>
      </c>
      <c r="J282" s="14" t="str">
        <f t="shared" si="13"/>
        <v>Médio valor</v>
      </c>
      <c r="K282" t="str">
        <f t="shared" si="14"/>
        <v>AU2025-03</v>
      </c>
      <c r="L282" s="5"/>
    </row>
    <row r="283" spans="2:12" x14ac:dyDescent="0.35">
      <c r="B283" s="5" t="s">
        <v>62</v>
      </c>
      <c r="C283" s="5" t="str">
        <f>VLOOKUP(B283,Tabela4[],2,FALSE)</f>
        <v>Grande</v>
      </c>
      <c r="D283" s="12" t="str">
        <f>VLOOKUP(B283,Tabela4[],3,FALSE)</f>
        <v>Ceará</v>
      </c>
      <c r="E283" s="16" t="s">
        <v>68</v>
      </c>
      <c r="F283" s="13">
        <f>VLOOKUP($K283,'FATURAMENTO '!$B$2:$F$302,4,FALSE)</f>
        <v>28447</v>
      </c>
      <c r="G283" s="13">
        <f>VLOOKUP($K283,'FATURAMENTO '!$B$2:$F$302,5,FALSE)</f>
        <v>15127.73</v>
      </c>
      <c r="H283" s="5" t="str">
        <f>VLOOKUP($K283,CHURN!$A$2:$E$302,4,FALSE)</f>
        <v>Ativo</v>
      </c>
      <c r="I283" s="11">
        <f t="shared" si="12"/>
        <v>0.46821351987907339</v>
      </c>
      <c r="J283" s="14" t="str">
        <f t="shared" si="13"/>
        <v>Médio valor</v>
      </c>
      <c r="K283" t="str">
        <f t="shared" si="14"/>
        <v>AU2025-04</v>
      </c>
      <c r="L283" s="5"/>
    </row>
    <row r="284" spans="2:12" x14ac:dyDescent="0.35">
      <c r="B284" s="5" t="s">
        <v>62</v>
      </c>
      <c r="C284" s="5" t="str">
        <f>VLOOKUP(B284,Tabela4[],2,FALSE)</f>
        <v>Grande</v>
      </c>
      <c r="D284" s="12" t="str">
        <f>VLOOKUP(B284,Tabela4[],3,FALSE)</f>
        <v>Ceará</v>
      </c>
      <c r="E284" s="16" t="s">
        <v>69</v>
      </c>
      <c r="F284" s="13">
        <f>VLOOKUP($K284,'FATURAMENTO '!$B$2:$F$302,4,FALSE)</f>
        <v>8571</v>
      </c>
      <c r="G284" s="13">
        <f>VLOOKUP($K284,'FATURAMENTO '!$B$2:$F$302,5,FALSE)</f>
        <v>5522.46</v>
      </c>
      <c r="H284" s="5" t="str">
        <f>VLOOKUP($K284,CHURN!$A$2:$E$302,4,FALSE)</f>
        <v>Ativo</v>
      </c>
      <c r="I284" s="11">
        <f t="shared" si="12"/>
        <v>0.35568078403920195</v>
      </c>
      <c r="J284" s="14" t="str">
        <f t="shared" si="13"/>
        <v>Médio valor</v>
      </c>
      <c r="K284" t="str">
        <f t="shared" si="14"/>
        <v>AU2025-05</v>
      </c>
      <c r="L284" s="5"/>
    </row>
    <row r="285" spans="2:12" x14ac:dyDescent="0.35">
      <c r="B285" s="5" t="s">
        <v>63</v>
      </c>
      <c r="C285" s="5" t="str">
        <f>VLOOKUP(B285,Tabela4[],2,FALSE)</f>
        <v>Média</v>
      </c>
      <c r="D285" s="12" t="str">
        <f>VLOOKUP(B285,Tabela4[],3,FALSE)</f>
        <v>Distrito Federal</v>
      </c>
      <c r="E285" s="16" t="s">
        <v>6</v>
      </c>
      <c r="F285" s="13">
        <f>VLOOKUP($K285,'FATURAMENTO '!$B$2:$F$302,4,FALSE)</f>
        <v>21985</v>
      </c>
      <c r="G285" s="13">
        <f>VLOOKUP($K285,'FATURAMENTO '!$B$2:$F$302,5,FALSE)</f>
        <v>15873.3</v>
      </c>
      <c r="H285" s="5" t="str">
        <f>VLOOKUP($K285,CHURN!$A$2:$E$302,4,FALSE)</f>
        <v>Ativo</v>
      </c>
      <c r="I285" s="11">
        <f t="shared" si="12"/>
        <v>0.27799408687741645</v>
      </c>
      <c r="J285" s="14" t="str">
        <f t="shared" si="13"/>
        <v>Baixo valor</v>
      </c>
      <c r="K285" t="str">
        <f t="shared" si="14"/>
        <v>AV2024-12</v>
      </c>
      <c r="L285" s="5"/>
    </row>
    <row r="286" spans="2:12" x14ac:dyDescent="0.35">
      <c r="B286" s="5" t="s">
        <v>63</v>
      </c>
      <c r="C286" s="5" t="str">
        <f>VLOOKUP(B286,Tabela4[],2,FALSE)</f>
        <v>Média</v>
      </c>
      <c r="D286" s="12" t="str">
        <f>VLOOKUP(B286,Tabela4[],3,FALSE)</f>
        <v>Distrito Federal</v>
      </c>
      <c r="E286" s="16" t="s">
        <v>66</v>
      </c>
      <c r="F286" s="13">
        <f>VLOOKUP($K286,'FATURAMENTO '!$B$2:$F$302,4,FALSE)</f>
        <v>25487</v>
      </c>
      <c r="G286" s="13">
        <f>VLOOKUP($K286,'FATURAMENTO '!$B$2:$F$302,5,FALSE)</f>
        <v>19713.95</v>
      </c>
      <c r="H286" s="5" t="str">
        <f>VLOOKUP($K286,CHURN!$A$2:$E$302,4,FALSE)</f>
        <v>Ativo</v>
      </c>
      <c r="I286" s="11">
        <f t="shared" si="12"/>
        <v>0.22650959312590729</v>
      </c>
      <c r="J286" s="14" t="str">
        <f t="shared" si="13"/>
        <v>Baixo valor</v>
      </c>
      <c r="K286" t="str">
        <f t="shared" si="14"/>
        <v>AV2025-01</v>
      </c>
      <c r="L286" s="5"/>
    </row>
    <row r="287" spans="2:12" x14ac:dyDescent="0.35">
      <c r="B287" s="5" t="s">
        <v>63</v>
      </c>
      <c r="C287" s="5" t="str">
        <f>VLOOKUP(B287,Tabela4[],2,FALSE)</f>
        <v>Média</v>
      </c>
      <c r="D287" s="12" t="str">
        <f>VLOOKUP(B287,Tabela4[],3,FALSE)</f>
        <v>Distrito Federal</v>
      </c>
      <c r="E287" s="16" t="s">
        <v>67</v>
      </c>
      <c r="F287" s="13">
        <f>VLOOKUP($K287,'FATURAMENTO '!$B$2:$F$302,4,FALSE)</f>
        <v>8131</v>
      </c>
      <c r="G287" s="13">
        <f>VLOOKUP($K287,'FATURAMENTO '!$B$2:$F$302,5,FALSE)</f>
        <v>5653</v>
      </c>
      <c r="H287" s="5" t="str">
        <f>VLOOKUP($K287,CHURN!$A$2:$E$302,4,FALSE)</f>
        <v>Ativo</v>
      </c>
      <c r="I287" s="11">
        <f t="shared" si="12"/>
        <v>0.30475956216947486</v>
      </c>
      <c r="J287" s="14" t="str">
        <f t="shared" si="13"/>
        <v>Baixo valor</v>
      </c>
      <c r="K287" t="str">
        <f t="shared" si="14"/>
        <v>AV2025-02</v>
      </c>
      <c r="L287" s="5"/>
    </row>
    <row r="288" spans="2:12" x14ac:dyDescent="0.35">
      <c r="B288" s="5" t="s">
        <v>63</v>
      </c>
      <c r="C288" s="5" t="str">
        <f>VLOOKUP(B288,Tabela4[],2,FALSE)</f>
        <v>Média</v>
      </c>
      <c r="D288" s="12" t="str">
        <f>VLOOKUP(B288,Tabela4[],3,FALSE)</f>
        <v>Distrito Federal</v>
      </c>
      <c r="E288" s="16" t="s">
        <v>88</v>
      </c>
      <c r="F288" s="13">
        <f>VLOOKUP($K288,'FATURAMENTO '!$B$2:$F$302,4,FALSE)</f>
        <v>17900</v>
      </c>
      <c r="G288" s="13">
        <f>VLOOKUP($K288,'FATURAMENTO '!$B$2:$F$302,5,FALSE)</f>
        <v>13087.75</v>
      </c>
      <c r="H288" s="5" t="str">
        <f>VLOOKUP($K288,CHURN!$A$2:$E$302,4,FALSE)</f>
        <v>Ativo</v>
      </c>
      <c r="I288" s="11">
        <f t="shared" si="12"/>
        <v>0.26884078212290502</v>
      </c>
      <c r="J288" s="14" t="str">
        <f t="shared" si="13"/>
        <v>Baixo valor</v>
      </c>
      <c r="K288" t="str">
        <f t="shared" si="14"/>
        <v>AV2025-03</v>
      </c>
      <c r="L288" s="5"/>
    </row>
    <row r="289" spans="2:12" x14ac:dyDescent="0.35">
      <c r="B289" s="5" t="s">
        <v>63</v>
      </c>
      <c r="C289" s="5" t="str">
        <f>VLOOKUP(B289,Tabela4[],2,FALSE)</f>
        <v>Média</v>
      </c>
      <c r="D289" s="12" t="str">
        <f>VLOOKUP(B289,Tabela4[],3,FALSE)</f>
        <v>Distrito Federal</v>
      </c>
      <c r="E289" s="16" t="s">
        <v>68</v>
      </c>
      <c r="F289" s="13">
        <f>VLOOKUP($K289,'FATURAMENTO '!$B$2:$F$302,4,FALSE)</f>
        <v>48114</v>
      </c>
      <c r="G289" s="13">
        <f>VLOOKUP($K289,'FATURAMENTO '!$B$2:$F$302,5,FALSE)</f>
        <v>29107.4</v>
      </c>
      <c r="H289" s="5" t="str">
        <f>VLOOKUP($K289,CHURN!$A$2:$E$302,4,FALSE)</f>
        <v>Ativo</v>
      </c>
      <c r="I289" s="11">
        <f t="shared" si="12"/>
        <v>0.39503263083509993</v>
      </c>
      <c r="J289" s="14" t="str">
        <f t="shared" si="13"/>
        <v>Baixo valor</v>
      </c>
      <c r="K289" t="str">
        <f t="shared" si="14"/>
        <v>AV2025-04</v>
      </c>
      <c r="L289" s="5"/>
    </row>
    <row r="290" spans="2:12" x14ac:dyDescent="0.35">
      <c r="B290" s="5" t="s">
        <v>63</v>
      </c>
      <c r="C290" s="5" t="str">
        <f>VLOOKUP(B290,Tabela4[],2,FALSE)</f>
        <v>Média</v>
      </c>
      <c r="D290" s="12" t="str">
        <f>VLOOKUP(B290,Tabela4[],3,FALSE)</f>
        <v>Distrito Federal</v>
      </c>
      <c r="E290" s="16" t="s">
        <v>69</v>
      </c>
      <c r="F290" s="13">
        <f>VLOOKUP($K290,'FATURAMENTO '!$B$2:$F$302,4,FALSE)</f>
        <v>38836</v>
      </c>
      <c r="G290" s="13">
        <f>VLOOKUP($K290,'FATURAMENTO '!$B$2:$F$302,5,FALSE)</f>
        <v>24110.84</v>
      </c>
      <c r="H290" s="5" t="str">
        <f>VLOOKUP($K290,CHURN!$A$2:$E$302,4,FALSE)</f>
        <v>Cancelado</v>
      </c>
      <c r="I290" s="11">
        <f t="shared" si="12"/>
        <v>0.37916263260891958</v>
      </c>
      <c r="J290" s="14" t="str">
        <f t="shared" si="13"/>
        <v>Baixo valor</v>
      </c>
      <c r="K290" t="str">
        <f t="shared" si="14"/>
        <v>AV2025-05</v>
      </c>
      <c r="L290" s="5"/>
    </row>
    <row r="291" spans="2:12" x14ac:dyDescent="0.35">
      <c r="B291" s="5" t="s">
        <v>64</v>
      </c>
      <c r="C291" s="5" t="str">
        <f>VLOOKUP(B291,Tabela4[],2,FALSE)</f>
        <v>Grande</v>
      </c>
      <c r="D291" s="12" t="str">
        <f>VLOOKUP(B291,Tabela4[],3,FALSE)</f>
        <v>Santa Catarina</v>
      </c>
      <c r="E291" s="16" t="s">
        <v>6</v>
      </c>
      <c r="F291" s="13">
        <f>VLOOKUP($K291,'FATURAMENTO '!$B$2:$F$302,4,FALSE)</f>
        <v>3968</v>
      </c>
      <c r="G291" s="13">
        <f>VLOOKUP($K291,'FATURAMENTO '!$B$2:$F$302,5,FALSE)</f>
        <v>2463.09</v>
      </c>
      <c r="H291" s="5" t="str">
        <f>VLOOKUP($K291,CHURN!$A$2:$E$302,4,FALSE)</f>
        <v>Ativo</v>
      </c>
      <c r="I291" s="11">
        <f t="shared" si="12"/>
        <v>0.37926159274193544</v>
      </c>
      <c r="J291" s="14" t="str">
        <f t="shared" si="13"/>
        <v>Médio valor</v>
      </c>
      <c r="K291" t="str">
        <f t="shared" si="14"/>
        <v>AX2024-12</v>
      </c>
      <c r="L291" s="5"/>
    </row>
    <row r="292" spans="2:12" x14ac:dyDescent="0.35">
      <c r="B292" s="5" t="s">
        <v>64</v>
      </c>
      <c r="C292" s="5" t="str">
        <f>VLOOKUP(B292,Tabela4[],2,FALSE)</f>
        <v>Grande</v>
      </c>
      <c r="D292" s="12" t="str">
        <f>VLOOKUP(B292,Tabela4[],3,FALSE)</f>
        <v>Santa Catarina</v>
      </c>
      <c r="E292" s="16" t="s">
        <v>66</v>
      </c>
      <c r="F292" s="13">
        <f>VLOOKUP($K292,'FATURAMENTO '!$B$2:$F$302,4,FALSE)</f>
        <v>31885</v>
      </c>
      <c r="G292" s="13">
        <f>VLOOKUP($K292,'FATURAMENTO '!$B$2:$F$302,5,FALSE)</f>
        <v>22202.95</v>
      </c>
      <c r="H292" s="5" t="str">
        <f>VLOOKUP($K292,CHURN!$A$2:$E$302,4,FALSE)</f>
        <v>Ativo</v>
      </c>
      <c r="I292" s="11">
        <f t="shared" si="12"/>
        <v>0.30365532381997801</v>
      </c>
      <c r="J292" s="14" t="str">
        <f t="shared" si="13"/>
        <v>Médio valor</v>
      </c>
      <c r="K292" t="str">
        <f t="shared" si="14"/>
        <v>AX2025-01</v>
      </c>
      <c r="L292" s="5"/>
    </row>
    <row r="293" spans="2:12" x14ac:dyDescent="0.35">
      <c r="B293" s="5" t="s">
        <v>64</v>
      </c>
      <c r="C293" s="5" t="str">
        <f>VLOOKUP(B293,Tabela4[],2,FALSE)</f>
        <v>Grande</v>
      </c>
      <c r="D293" s="12" t="str">
        <f>VLOOKUP(B293,Tabela4[],3,FALSE)</f>
        <v>Santa Catarina</v>
      </c>
      <c r="E293" s="16" t="s">
        <v>67</v>
      </c>
      <c r="F293" s="13">
        <f>VLOOKUP($K293,'FATURAMENTO '!$B$2:$F$302,4,FALSE)</f>
        <v>8973</v>
      </c>
      <c r="G293" s="13">
        <f>VLOOKUP($K293,'FATURAMENTO '!$B$2:$F$302,5,FALSE)</f>
        <v>5141.21</v>
      </c>
      <c r="H293" s="5" t="str">
        <f>VLOOKUP($K293,CHURN!$A$2:$E$302,4,FALSE)</f>
        <v>Ativo</v>
      </c>
      <c r="I293" s="11">
        <f t="shared" si="12"/>
        <v>0.42703555109773766</v>
      </c>
      <c r="J293" s="14" t="str">
        <f t="shared" si="13"/>
        <v>Médio valor</v>
      </c>
      <c r="K293" t="str">
        <f t="shared" si="14"/>
        <v>AX2025-02</v>
      </c>
      <c r="L293" s="5"/>
    </row>
    <row r="294" spans="2:12" x14ac:dyDescent="0.35">
      <c r="B294" s="5" t="s">
        <v>64</v>
      </c>
      <c r="C294" s="5" t="str">
        <f>VLOOKUP(B294,Tabela4[],2,FALSE)</f>
        <v>Grande</v>
      </c>
      <c r="D294" s="12" t="str">
        <f>VLOOKUP(B294,Tabela4[],3,FALSE)</f>
        <v>Santa Catarina</v>
      </c>
      <c r="E294" s="16" t="s">
        <v>88</v>
      </c>
      <c r="F294" s="13">
        <f>VLOOKUP($K294,'FATURAMENTO '!$B$2:$F$302,4,FALSE)</f>
        <v>28907</v>
      </c>
      <c r="G294" s="13">
        <f>VLOOKUP($K294,'FATURAMENTO '!$B$2:$F$302,5,FALSE)</f>
        <v>14488.75</v>
      </c>
      <c r="H294" s="5" t="str">
        <f>VLOOKUP($K294,CHURN!$A$2:$E$302,4,FALSE)</f>
        <v>Ativo</v>
      </c>
      <c r="I294" s="11">
        <f t="shared" si="12"/>
        <v>0.49878057217974886</v>
      </c>
      <c r="J294" s="14" t="str">
        <f t="shared" si="13"/>
        <v>Médio valor</v>
      </c>
      <c r="K294" t="str">
        <f t="shared" si="14"/>
        <v>AX2025-03</v>
      </c>
      <c r="L294" s="5"/>
    </row>
    <row r="295" spans="2:12" x14ac:dyDescent="0.35">
      <c r="B295" s="5" t="s">
        <v>64</v>
      </c>
      <c r="C295" s="5" t="str">
        <f>VLOOKUP(B295,Tabela4[],2,FALSE)</f>
        <v>Grande</v>
      </c>
      <c r="D295" s="12" t="str">
        <f>VLOOKUP(B295,Tabela4[],3,FALSE)</f>
        <v>Santa Catarina</v>
      </c>
      <c r="E295" s="16" t="s">
        <v>68</v>
      </c>
      <c r="F295" s="13">
        <f>VLOOKUP($K295,'FATURAMENTO '!$B$2:$F$302,4,FALSE)</f>
        <v>3946</v>
      </c>
      <c r="G295" s="13">
        <f>VLOOKUP($K295,'FATURAMENTO '!$B$2:$F$302,5,FALSE)</f>
        <v>1985.3</v>
      </c>
      <c r="H295" s="5" t="str">
        <f>VLOOKUP($K295,CHURN!$A$2:$E$302,4,FALSE)</f>
        <v>Cancelado</v>
      </c>
      <c r="I295" s="11">
        <f t="shared" si="12"/>
        <v>0.49688291941206286</v>
      </c>
      <c r="J295" s="14" t="str">
        <f t="shared" si="13"/>
        <v>Médio valor</v>
      </c>
      <c r="K295" t="str">
        <f t="shared" si="14"/>
        <v>AX2025-04</v>
      </c>
      <c r="L295" s="5"/>
    </row>
    <row r="296" spans="2:12" x14ac:dyDescent="0.35">
      <c r="B296" s="5" t="s">
        <v>64</v>
      </c>
      <c r="C296" s="5" t="str">
        <f>VLOOKUP(B296,Tabela4[],2,FALSE)</f>
        <v>Grande</v>
      </c>
      <c r="D296" s="12" t="str">
        <f>VLOOKUP(B296,Tabela4[],3,FALSE)</f>
        <v>Santa Catarina</v>
      </c>
      <c r="E296" s="16" t="s">
        <v>69</v>
      </c>
      <c r="F296" s="13">
        <f>VLOOKUP($K296,'FATURAMENTO '!$B$2:$F$302,4,FALSE)</f>
        <v>2507</v>
      </c>
      <c r="G296" s="13">
        <f>VLOOKUP($K296,'FATURAMENTO '!$B$2:$F$302,5,FALSE)</f>
        <v>1838.73</v>
      </c>
      <c r="H296" s="5" t="str">
        <f>VLOOKUP($K296,CHURN!$A$2:$E$302,4,FALSE)</f>
        <v>Ativo</v>
      </c>
      <c r="I296" s="11">
        <f t="shared" si="12"/>
        <v>0.26656162744315914</v>
      </c>
      <c r="J296" s="14" t="str">
        <f t="shared" si="13"/>
        <v>Médio valor</v>
      </c>
      <c r="K296" t="str">
        <f t="shared" si="14"/>
        <v>AX2025-05</v>
      </c>
      <c r="L296" s="5"/>
    </row>
    <row r="297" spans="2:12" x14ac:dyDescent="0.35">
      <c r="B297" s="5" t="s">
        <v>65</v>
      </c>
      <c r="C297" s="5" t="str">
        <f>VLOOKUP(B297,Tabela4[],2,FALSE)</f>
        <v>Média</v>
      </c>
      <c r="D297" s="12" t="str">
        <f>VLOOKUP(B297,Tabela4[],3,FALSE)</f>
        <v>Pernambuco</v>
      </c>
      <c r="E297" s="16" t="s">
        <v>6</v>
      </c>
      <c r="F297" s="13">
        <f>VLOOKUP($K297,'FATURAMENTO '!$B$2:$F$302,4,FALSE)</f>
        <v>35366</v>
      </c>
      <c r="G297" s="13">
        <f>VLOOKUP($K297,'FATURAMENTO '!$B$2:$F$302,5,FALSE)</f>
        <v>22076.74</v>
      </c>
      <c r="H297" s="5" t="str">
        <f>VLOOKUP($K297,CHURN!$A$2:$E$302,4,FALSE)</f>
        <v>Ativo</v>
      </c>
      <c r="I297" s="11">
        <f t="shared" si="12"/>
        <v>0.37576372787422946</v>
      </c>
      <c r="J297" s="14" t="str">
        <f t="shared" si="13"/>
        <v>Médio valor</v>
      </c>
      <c r="K297" t="str">
        <f t="shared" si="14"/>
        <v>AW2024-12</v>
      </c>
      <c r="L297" s="5"/>
    </row>
    <row r="298" spans="2:12" x14ac:dyDescent="0.35">
      <c r="B298" s="5" t="s">
        <v>65</v>
      </c>
      <c r="C298" s="5" t="str">
        <f>VLOOKUP(B298,Tabela4[],2,FALSE)</f>
        <v>Média</v>
      </c>
      <c r="D298" s="12" t="str">
        <f>VLOOKUP(B298,Tabela4[],3,FALSE)</f>
        <v>Pernambuco</v>
      </c>
      <c r="E298" s="16" t="s">
        <v>66</v>
      </c>
      <c r="F298" s="13">
        <f>VLOOKUP($K298,'FATURAMENTO '!$B$2:$F$302,4,FALSE)</f>
        <v>19951</v>
      </c>
      <c r="G298" s="13">
        <f>VLOOKUP($K298,'FATURAMENTO '!$B$2:$F$302,5,FALSE)</f>
        <v>14062.76</v>
      </c>
      <c r="H298" s="5" t="str">
        <f>VLOOKUP($K298,CHURN!$A$2:$E$302,4,FALSE)</f>
        <v>Cancelado</v>
      </c>
      <c r="I298" s="11">
        <f t="shared" si="12"/>
        <v>0.29513508094832336</v>
      </c>
      <c r="J298" s="14" t="str">
        <f t="shared" si="13"/>
        <v>Médio valor</v>
      </c>
      <c r="K298" t="str">
        <f t="shared" si="14"/>
        <v>AW2025-01</v>
      </c>
      <c r="L298" s="5"/>
    </row>
    <row r="299" spans="2:12" x14ac:dyDescent="0.35">
      <c r="B299" s="5" t="s">
        <v>65</v>
      </c>
      <c r="C299" s="5" t="str">
        <f>VLOOKUP(B299,Tabela4[],2,FALSE)</f>
        <v>Média</v>
      </c>
      <c r="D299" s="12" t="str">
        <f>VLOOKUP(B299,Tabela4[],3,FALSE)</f>
        <v>Pernambuco</v>
      </c>
      <c r="E299" s="16" t="s">
        <v>67</v>
      </c>
      <c r="F299" s="13">
        <f>VLOOKUP($K299,'FATURAMENTO '!$B$2:$F$302,4,FALSE)</f>
        <v>41093</v>
      </c>
      <c r="G299" s="13">
        <f>VLOOKUP($K299,'FATURAMENTO '!$B$2:$F$302,5,FALSE)</f>
        <v>32604.77</v>
      </c>
      <c r="H299" s="5" t="str">
        <f>VLOOKUP($K299,CHURN!$A$2:$E$302,4,FALSE)</f>
        <v>Ativo</v>
      </c>
      <c r="I299" s="11">
        <f t="shared" si="12"/>
        <v>0.20656145815589028</v>
      </c>
      <c r="J299" s="14" t="str">
        <f t="shared" si="13"/>
        <v>Médio valor</v>
      </c>
      <c r="K299" t="str">
        <f t="shared" si="14"/>
        <v>AW2025-02</v>
      </c>
      <c r="L299" s="5"/>
    </row>
    <row r="300" spans="2:12" x14ac:dyDescent="0.35">
      <c r="B300" s="5" t="s">
        <v>65</v>
      </c>
      <c r="C300" s="5" t="str">
        <f>VLOOKUP(B300,Tabela4[],2,FALSE)</f>
        <v>Média</v>
      </c>
      <c r="D300" s="12" t="str">
        <f>VLOOKUP(B300,Tabela4[],3,FALSE)</f>
        <v>Pernambuco</v>
      </c>
      <c r="E300" s="16" t="s">
        <v>88</v>
      </c>
      <c r="F300" s="13">
        <f>VLOOKUP($K300,'FATURAMENTO '!$B$2:$F$302,4,FALSE)</f>
        <v>11732</v>
      </c>
      <c r="G300" s="13">
        <f>VLOOKUP($K300,'FATURAMENTO '!$B$2:$F$302,5,FALSE)</f>
        <v>7162.43</v>
      </c>
      <c r="H300" s="5" t="str">
        <f>VLOOKUP($K300,CHURN!$A$2:$E$302,4,FALSE)</f>
        <v>Ativo</v>
      </c>
      <c r="I300" s="11">
        <f t="shared" si="12"/>
        <v>0.38949624957381518</v>
      </c>
      <c r="J300" s="14" t="str">
        <f t="shared" si="13"/>
        <v>Médio valor</v>
      </c>
      <c r="K300" t="str">
        <f t="shared" si="14"/>
        <v>AW2025-03</v>
      </c>
      <c r="L300" s="5"/>
    </row>
    <row r="301" spans="2:12" x14ac:dyDescent="0.35">
      <c r="B301" s="5" t="s">
        <v>65</v>
      </c>
      <c r="C301" s="5" t="str">
        <f>VLOOKUP(B301,Tabela4[],2,FALSE)</f>
        <v>Média</v>
      </c>
      <c r="D301" s="12" t="str">
        <f>VLOOKUP(B301,Tabela4[],3,FALSE)</f>
        <v>Pernambuco</v>
      </c>
      <c r="E301" s="16" t="s">
        <v>68</v>
      </c>
      <c r="F301" s="13">
        <f>VLOOKUP($K301,'FATURAMENTO '!$B$2:$F$302,4,FALSE)</f>
        <v>5887</v>
      </c>
      <c r="G301" s="13">
        <f>VLOOKUP($K301,'FATURAMENTO '!$B$2:$F$302,5,FALSE)</f>
        <v>3610.04</v>
      </c>
      <c r="H301" s="5" t="str">
        <f>VLOOKUP($K301,CHURN!$A$2:$E$302,4,FALSE)</f>
        <v>Ativo</v>
      </c>
      <c r="I301" s="11">
        <f t="shared" si="12"/>
        <v>0.38677764565992867</v>
      </c>
      <c r="J301" s="14" t="str">
        <f t="shared" si="13"/>
        <v>Médio valor</v>
      </c>
      <c r="K301" t="str">
        <f t="shared" si="14"/>
        <v>AW2025-04</v>
      </c>
      <c r="L301" s="5"/>
    </row>
    <row r="302" spans="2:12" x14ac:dyDescent="0.35">
      <c r="B302" s="5" t="s">
        <v>65</v>
      </c>
      <c r="C302" s="5" t="str">
        <f>VLOOKUP(B302,Tabela4[],2,FALSE)</f>
        <v>Média</v>
      </c>
      <c r="D302" s="12" t="str">
        <f>VLOOKUP(B302,Tabela4[],3,FALSE)</f>
        <v>Pernambuco</v>
      </c>
      <c r="E302" s="16" t="s">
        <v>69</v>
      </c>
      <c r="F302" s="13">
        <f>VLOOKUP($K302,'FATURAMENTO '!$B$2:$F$302,4,FALSE)</f>
        <v>46600</v>
      </c>
      <c r="G302" s="13">
        <f>VLOOKUP($K302,'FATURAMENTO '!$B$2:$F$302,5,FALSE)</f>
        <v>36548.82</v>
      </c>
      <c r="H302" s="5" t="str">
        <f>VLOOKUP($K302,CHURN!$A$2:$E$302,4,FALSE)</f>
        <v>Ativo</v>
      </c>
      <c r="I302" s="11">
        <f t="shared" si="12"/>
        <v>0.21569055793991418</v>
      </c>
      <c r="J302" s="14" t="str">
        <f t="shared" si="13"/>
        <v>Médio valor</v>
      </c>
      <c r="K302" t="str">
        <f t="shared" si="14"/>
        <v>AW2025-05</v>
      </c>
      <c r="L302" s="5"/>
    </row>
  </sheetData>
  <autoFilter ref="B2:J302" xr:uid="{EE2E02B1-5898-478B-8222-465F3F93A29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1EDB-0162-46A0-9EF8-063BE0E7C4C9}">
  <dimension ref="A1:X55"/>
  <sheetViews>
    <sheetView topLeftCell="A11" workbookViewId="0">
      <selection activeCell="E29" sqref="E29"/>
    </sheetView>
  </sheetViews>
  <sheetFormatPr defaultRowHeight="14.5" x14ac:dyDescent="0.35"/>
  <cols>
    <col min="1" max="1" width="17.26953125" bestFit="1" customWidth="1"/>
    <col min="2" max="2" width="18.36328125" bestFit="1" customWidth="1"/>
    <col min="3" max="5" width="15.36328125" bestFit="1" customWidth="1"/>
    <col min="6" max="6" width="2.36328125" customWidth="1"/>
    <col min="7" max="7" width="2.6328125" customWidth="1"/>
    <col min="8" max="8" width="2.54296875" customWidth="1"/>
    <col min="9" max="9" width="17" bestFit="1" customWidth="1"/>
    <col min="10" max="10" width="17.26953125" bestFit="1" customWidth="1"/>
    <col min="12" max="12" width="17" bestFit="1" customWidth="1"/>
    <col min="13" max="13" width="24.81640625" bestFit="1" customWidth="1"/>
    <col min="15" max="15" width="17" bestFit="1" customWidth="1"/>
    <col min="16" max="16" width="17.26953125" bestFit="1" customWidth="1"/>
    <col min="18" max="18" width="9.1796875" bestFit="1" customWidth="1"/>
    <col min="19" max="19" width="4.7265625" bestFit="1" customWidth="1"/>
    <col min="20" max="20" width="10.26953125" bestFit="1" customWidth="1"/>
    <col min="21" max="21" width="7.36328125" bestFit="1" customWidth="1"/>
  </cols>
  <sheetData>
    <row r="1" spans="1:24" x14ac:dyDescent="0.35">
      <c r="A1" s="18" t="s">
        <v>84</v>
      </c>
      <c r="B1" s="18"/>
      <c r="C1" s="18"/>
      <c r="D1" s="18"/>
      <c r="E1" s="18"/>
      <c r="I1" s="18" t="s">
        <v>85</v>
      </c>
      <c r="J1" s="18"/>
      <c r="L1" s="18" t="s">
        <v>87</v>
      </c>
      <c r="M1" s="18"/>
      <c r="O1" s="7" t="s">
        <v>11</v>
      </c>
      <c r="P1" t="s">
        <v>76</v>
      </c>
      <c r="R1" s="18" t="s">
        <v>89</v>
      </c>
      <c r="S1" s="18"/>
      <c r="T1" s="18"/>
      <c r="U1" s="18"/>
      <c r="W1" s="10" t="s">
        <v>83</v>
      </c>
      <c r="X1" s="15" t="s">
        <v>69</v>
      </c>
    </row>
    <row r="2" spans="1:24" x14ac:dyDescent="0.35">
      <c r="L2" s="7" t="s">
        <v>71</v>
      </c>
      <c r="M2" t="s">
        <v>69</v>
      </c>
      <c r="R2" s="10" t="s">
        <v>11</v>
      </c>
      <c r="S2" s="10" t="s">
        <v>80</v>
      </c>
      <c r="T2" s="10" t="s">
        <v>81</v>
      </c>
      <c r="U2" s="10" t="s">
        <v>82</v>
      </c>
    </row>
    <row r="3" spans="1:24" x14ac:dyDescent="0.35">
      <c r="A3" s="7" t="s">
        <v>10</v>
      </c>
      <c r="B3" t="s">
        <v>76</v>
      </c>
      <c r="I3" s="7" t="s">
        <v>71</v>
      </c>
      <c r="J3" t="s">
        <v>69</v>
      </c>
      <c r="O3" s="7" t="s">
        <v>73</v>
      </c>
      <c r="P3" t="s">
        <v>77</v>
      </c>
      <c r="R3" t="s">
        <v>3</v>
      </c>
      <c r="S3">
        <f>COUNTIFS('Base Total'!$C:$C,R3,'Base Total'!$E:$E,$X$1)</f>
        <v>13</v>
      </c>
      <c r="T3">
        <f>COUNTIFS('Base Total'!$C:$C,R3,'Base Total'!$E:$E,$X$1,'Base Total'!$H:$H,"Cancelado")</f>
        <v>4</v>
      </c>
      <c r="U3" s="2">
        <f>T3/S3</f>
        <v>0.30769230769230771</v>
      </c>
    </row>
    <row r="4" spans="1:24" x14ac:dyDescent="0.35">
      <c r="L4" s="7" t="s">
        <v>73</v>
      </c>
      <c r="M4" t="s">
        <v>86</v>
      </c>
      <c r="O4" s="8" t="s">
        <v>6</v>
      </c>
      <c r="P4" s="9">
        <v>1389768</v>
      </c>
      <c r="R4" t="s">
        <v>1</v>
      </c>
      <c r="S4">
        <f>COUNTIFS('Base Total'!$C:$C,R4,'Base Total'!$E:$E,$X$1)</f>
        <v>18</v>
      </c>
      <c r="T4">
        <f>COUNTIFS('Base Total'!$C:$C,R4,'Base Total'!$E:$E,$X$1,'Base Total'!$H:$H,"Cancelado")</f>
        <v>3</v>
      </c>
      <c r="U4" s="2">
        <f>T4/S4</f>
        <v>0.16666666666666666</v>
      </c>
    </row>
    <row r="5" spans="1:24" x14ac:dyDescent="0.35">
      <c r="A5" s="7" t="s">
        <v>77</v>
      </c>
      <c r="B5" s="7" t="s">
        <v>75</v>
      </c>
      <c r="I5" s="7" t="s">
        <v>73</v>
      </c>
      <c r="J5" t="s">
        <v>77</v>
      </c>
      <c r="L5" s="8" t="s">
        <v>16</v>
      </c>
      <c r="M5" s="19">
        <v>0.44377423033067276</v>
      </c>
      <c r="O5" s="8" t="s">
        <v>66</v>
      </c>
      <c r="P5" s="9">
        <v>1312793</v>
      </c>
      <c r="R5" t="s">
        <v>2</v>
      </c>
      <c r="S5">
        <f>COUNTIFS('Base Total'!$C:$C,R5,'Base Total'!$E:$E,$X$1)</f>
        <v>19</v>
      </c>
      <c r="T5">
        <f>COUNTIFS('Base Total'!$C:$C,R5,'Base Total'!$E:$E,$X$1,'Base Total'!$H:$H,"Cancelado")</f>
        <v>3</v>
      </c>
      <c r="U5" s="2">
        <f>T5/S5</f>
        <v>0.15789473684210525</v>
      </c>
    </row>
    <row r="6" spans="1:24" x14ac:dyDescent="0.35">
      <c r="A6" s="7" t="s">
        <v>73</v>
      </c>
      <c r="B6" t="s">
        <v>2</v>
      </c>
      <c r="C6" t="s">
        <v>1</v>
      </c>
      <c r="D6" t="s">
        <v>3</v>
      </c>
      <c r="E6" t="s">
        <v>74</v>
      </c>
      <c r="I6" s="8" t="s">
        <v>45</v>
      </c>
      <c r="J6" s="9">
        <v>40885</v>
      </c>
      <c r="L6" s="8" t="s">
        <v>42</v>
      </c>
      <c r="M6" s="19">
        <v>0.42698608846310637</v>
      </c>
      <c r="O6" s="8" t="s">
        <v>67</v>
      </c>
      <c r="P6" s="9">
        <v>1343622</v>
      </c>
    </row>
    <row r="7" spans="1:24" x14ac:dyDescent="0.35">
      <c r="A7" s="8" t="s">
        <v>6</v>
      </c>
      <c r="B7" s="9">
        <v>440580</v>
      </c>
      <c r="C7" s="9">
        <v>553266</v>
      </c>
      <c r="D7" s="9">
        <v>395922</v>
      </c>
      <c r="E7" s="9">
        <v>1389768</v>
      </c>
      <c r="I7" s="8" t="s">
        <v>51</v>
      </c>
      <c r="J7" s="9">
        <v>43830</v>
      </c>
      <c r="L7" s="8" t="s">
        <v>43</v>
      </c>
      <c r="M7" s="19">
        <v>0.49088643443783631</v>
      </c>
      <c r="O7" s="8" t="s">
        <v>88</v>
      </c>
      <c r="P7" s="9">
        <v>1092613</v>
      </c>
    </row>
    <row r="8" spans="1:24" x14ac:dyDescent="0.35">
      <c r="A8" s="8" t="s">
        <v>66</v>
      </c>
      <c r="B8" s="9">
        <v>470433</v>
      </c>
      <c r="C8" s="9">
        <v>488284</v>
      </c>
      <c r="D8" s="9">
        <v>354076</v>
      </c>
      <c r="E8" s="9">
        <v>1312793</v>
      </c>
      <c r="I8" s="8" t="s">
        <v>56</v>
      </c>
      <c r="J8" s="9">
        <v>41925</v>
      </c>
      <c r="L8" s="8" t="s">
        <v>44</v>
      </c>
      <c r="M8" s="19">
        <v>0.29589684084443779</v>
      </c>
      <c r="O8" s="8" t="s">
        <v>68</v>
      </c>
      <c r="P8" s="9">
        <v>1495320</v>
      </c>
    </row>
    <row r="9" spans="1:24" x14ac:dyDescent="0.35">
      <c r="A9" s="8" t="s">
        <v>67</v>
      </c>
      <c r="B9" s="9">
        <v>498433</v>
      </c>
      <c r="C9" s="9">
        <v>421047</v>
      </c>
      <c r="D9" s="9">
        <v>424142</v>
      </c>
      <c r="E9" s="9">
        <v>1343622</v>
      </c>
      <c r="I9" s="8" t="s">
        <v>61</v>
      </c>
      <c r="J9" s="9">
        <v>48041</v>
      </c>
      <c r="L9" s="8" t="s">
        <v>45</v>
      </c>
      <c r="M9" s="19">
        <v>0.37689886266356848</v>
      </c>
      <c r="O9" s="8" t="s">
        <v>69</v>
      </c>
      <c r="P9" s="9">
        <v>1298766</v>
      </c>
    </row>
    <row r="10" spans="1:24" x14ac:dyDescent="0.35">
      <c r="A10" s="8" t="s">
        <v>68</v>
      </c>
      <c r="B10" s="9">
        <v>431994</v>
      </c>
      <c r="C10" s="9">
        <v>620649</v>
      </c>
      <c r="D10" s="9">
        <v>442677</v>
      </c>
      <c r="E10" s="9">
        <v>1495320</v>
      </c>
      <c r="I10" s="8" t="s">
        <v>65</v>
      </c>
      <c r="J10" s="9">
        <v>46600</v>
      </c>
      <c r="L10" s="8" t="s">
        <v>46</v>
      </c>
      <c r="M10" s="19">
        <v>0.45714033813919719</v>
      </c>
      <c r="O10" s="8" t="s">
        <v>74</v>
      </c>
      <c r="P10" s="9">
        <v>7932882</v>
      </c>
    </row>
    <row r="11" spans="1:24" x14ac:dyDescent="0.35">
      <c r="A11" s="8" t="s">
        <v>69</v>
      </c>
      <c r="B11" s="9">
        <v>446302</v>
      </c>
      <c r="C11" s="9">
        <v>536374</v>
      </c>
      <c r="D11" s="9">
        <v>316090</v>
      </c>
      <c r="E11" s="9">
        <v>1298766</v>
      </c>
      <c r="I11" s="8" t="s">
        <v>20</v>
      </c>
      <c r="J11" s="9">
        <v>43742</v>
      </c>
      <c r="L11" s="8" t="s">
        <v>47</v>
      </c>
      <c r="M11" s="19">
        <v>0.34024545349907914</v>
      </c>
    </row>
    <row r="12" spans="1:24" x14ac:dyDescent="0.35">
      <c r="A12" s="8" t="s">
        <v>88</v>
      </c>
      <c r="B12" s="9">
        <v>460577</v>
      </c>
      <c r="C12" s="9">
        <v>403758</v>
      </c>
      <c r="D12" s="9">
        <v>228278</v>
      </c>
      <c r="E12" s="9">
        <v>1092613</v>
      </c>
      <c r="I12" s="8" t="s">
        <v>21</v>
      </c>
      <c r="J12" s="9">
        <v>43205</v>
      </c>
      <c r="L12" s="8" t="s">
        <v>48</v>
      </c>
      <c r="M12" s="19">
        <v>0.4756186191382592</v>
      </c>
    </row>
    <row r="13" spans="1:24" x14ac:dyDescent="0.35">
      <c r="A13" s="8" t="s">
        <v>74</v>
      </c>
      <c r="B13" s="9">
        <v>2748319</v>
      </c>
      <c r="C13" s="9">
        <v>3023378</v>
      </c>
      <c r="D13" s="9">
        <v>2161185</v>
      </c>
      <c r="E13" s="9">
        <v>7932882</v>
      </c>
      <c r="I13" s="8" t="s">
        <v>27</v>
      </c>
      <c r="J13" s="9">
        <v>47467</v>
      </c>
      <c r="L13" s="8" t="s">
        <v>49</v>
      </c>
      <c r="M13" s="19">
        <v>0.29382085973625621</v>
      </c>
    </row>
    <row r="14" spans="1:24" x14ac:dyDescent="0.35">
      <c r="I14" s="8" t="s">
        <v>34</v>
      </c>
      <c r="J14" s="9">
        <v>44925</v>
      </c>
      <c r="L14" s="8" t="s">
        <v>50</v>
      </c>
      <c r="M14" s="19">
        <v>0.28156265373532924</v>
      </c>
    </row>
    <row r="15" spans="1:24" x14ac:dyDescent="0.35">
      <c r="I15" s="8" t="s">
        <v>35</v>
      </c>
      <c r="J15" s="9">
        <v>45775</v>
      </c>
      <c r="L15" s="8" t="s">
        <v>51</v>
      </c>
      <c r="M15" s="19">
        <v>0.32904928131416838</v>
      </c>
    </row>
    <row r="16" spans="1:24" x14ac:dyDescent="0.35">
      <c r="I16" s="8" t="s">
        <v>74</v>
      </c>
      <c r="J16" s="9">
        <v>446395</v>
      </c>
      <c r="L16" s="8" t="s">
        <v>52</v>
      </c>
      <c r="M16" s="19">
        <v>0.46404610469968627</v>
      </c>
    </row>
    <row r="17" spans="12:13" x14ac:dyDescent="0.35">
      <c r="L17" s="8" t="s">
        <v>53</v>
      </c>
      <c r="M17" s="19">
        <v>0.28302662914050664</v>
      </c>
    </row>
    <row r="18" spans="12:13" x14ac:dyDescent="0.35">
      <c r="L18" s="8" t="s">
        <v>54</v>
      </c>
      <c r="M18" s="19">
        <v>0.27679291728439953</v>
      </c>
    </row>
    <row r="19" spans="12:13" x14ac:dyDescent="0.35">
      <c r="L19" s="8" t="s">
        <v>55</v>
      </c>
      <c r="M19" s="19">
        <v>0.27148129758358158</v>
      </c>
    </row>
    <row r="20" spans="12:13" x14ac:dyDescent="0.35">
      <c r="L20" s="8" t="s">
        <v>56</v>
      </c>
      <c r="M20" s="19">
        <v>0.26341729278473464</v>
      </c>
    </row>
    <row r="21" spans="12:13" x14ac:dyDescent="0.35">
      <c r="L21" s="8" t="s">
        <v>57</v>
      </c>
      <c r="M21" s="19">
        <v>0.39317272870414111</v>
      </c>
    </row>
    <row r="22" spans="12:13" x14ac:dyDescent="0.35">
      <c r="L22" s="8" t="s">
        <v>58</v>
      </c>
      <c r="M22" s="19">
        <v>0.29694737800436993</v>
      </c>
    </row>
    <row r="23" spans="12:13" x14ac:dyDescent="0.35">
      <c r="L23" s="8" t="s">
        <v>59</v>
      </c>
      <c r="M23" s="19">
        <v>0.34179232733851234</v>
      </c>
    </row>
    <row r="24" spans="12:13" x14ac:dyDescent="0.35">
      <c r="L24" s="8" t="s">
        <v>60</v>
      </c>
      <c r="M24" s="19">
        <v>0.30480853195905799</v>
      </c>
    </row>
    <row r="25" spans="12:13" x14ac:dyDescent="0.35">
      <c r="L25" s="8" t="s">
        <v>61</v>
      </c>
      <c r="M25" s="19">
        <v>0.28696217813950575</v>
      </c>
    </row>
    <row r="26" spans="12:13" x14ac:dyDescent="0.35">
      <c r="L26" s="8" t="s">
        <v>62</v>
      </c>
      <c r="M26" s="19">
        <v>0.35568078403920195</v>
      </c>
    </row>
    <row r="27" spans="12:13" x14ac:dyDescent="0.35">
      <c r="L27" s="8" t="s">
        <v>63</v>
      </c>
      <c r="M27" s="19">
        <v>0.37916263260891958</v>
      </c>
    </row>
    <row r="28" spans="12:13" x14ac:dyDescent="0.35">
      <c r="L28" s="8" t="s">
        <v>65</v>
      </c>
      <c r="M28" s="19">
        <v>0.21569055793991418</v>
      </c>
    </row>
    <row r="29" spans="12:13" x14ac:dyDescent="0.35">
      <c r="L29" s="8" t="s">
        <v>64</v>
      </c>
      <c r="M29" s="19">
        <v>0.26656162744315914</v>
      </c>
    </row>
    <row r="30" spans="12:13" x14ac:dyDescent="0.35">
      <c r="L30" s="8" t="s">
        <v>17</v>
      </c>
      <c r="M30" s="19">
        <v>0.44850680589222447</v>
      </c>
    </row>
    <row r="31" spans="12:13" x14ac:dyDescent="0.35">
      <c r="L31" s="8" t="s">
        <v>18</v>
      </c>
      <c r="M31" s="19">
        <v>0.28932074263764407</v>
      </c>
    </row>
    <row r="32" spans="12:13" x14ac:dyDescent="0.35">
      <c r="L32" s="8" t="s">
        <v>19</v>
      </c>
      <c r="M32" s="19">
        <v>0.43230029585798813</v>
      </c>
    </row>
    <row r="33" spans="12:13" x14ac:dyDescent="0.35">
      <c r="L33" s="8" t="s">
        <v>20</v>
      </c>
      <c r="M33" s="19">
        <v>0.33363380732476799</v>
      </c>
    </row>
    <row r="34" spans="12:13" x14ac:dyDescent="0.35">
      <c r="L34" s="8" t="s">
        <v>21</v>
      </c>
      <c r="M34" s="19">
        <v>0.39160259229255873</v>
      </c>
    </row>
    <row r="35" spans="12:13" x14ac:dyDescent="0.35">
      <c r="L35" s="8" t="s">
        <v>22</v>
      </c>
      <c r="M35" s="19">
        <v>0.33806878804995927</v>
      </c>
    </row>
    <row r="36" spans="12:13" x14ac:dyDescent="0.35">
      <c r="L36" s="8" t="s">
        <v>23</v>
      </c>
      <c r="M36" s="19">
        <v>0.44765126250595516</v>
      </c>
    </row>
    <row r="37" spans="12:13" x14ac:dyDescent="0.35">
      <c r="L37" s="8" t="s">
        <v>24</v>
      </c>
      <c r="M37" s="19">
        <v>0.21214609765474809</v>
      </c>
    </row>
    <row r="38" spans="12:13" x14ac:dyDescent="0.35">
      <c r="L38" s="8" t="s">
        <v>25</v>
      </c>
      <c r="M38" s="19">
        <v>0.37736006597258021</v>
      </c>
    </row>
    <row r="39" spans="12:13" x14ac:dyDescent="0.35">
      <c r="L39" s="8" t="s">
        <v>26</v>
      </c>
      <c r="M39" s="19">
        <v>0.41729507107745445</v>
      </c>
    </row>
    <row r="40" spans="12:13" x14ac:dyDescent="0.35">
      <c r="L40" s="8" t="s">
        <v>27</v>
      </c>
      <c r="M40" s="19">
        <v>0.23559335959719391</v>
      </c>
    </row>
    <row r="41" spans="12:13" x14ac:dyDescent="0.35">
      <c r="L41" s="8" t="s">
        <v>28</v>
      </c>
      <c r="M41" s="19">
        <v>0.36616697104096008</v>
      </c>
    </row>
    <row r="42" spans="12:13" x14ac:dyDescent="0.35">
      <c r="L42" s="8" t="s">
        <v>29</v>
      </c>
      <c r="M42" s="19">
        <v>0.27762758006236699</v>
      </c>
    </row>
    <row r="43" spans="12:13" x14ac:dyDescent="0.35">
      <c r="L43" s="8" t="s">
        <v>30</v>
      </c>
      <c r="M43" s="19">
        <v>0.36472741089375887</v>
      </c>
    </row>
    <row r="44" spans="12:13" x14ac:dyDescent="0.35">
      <c r="L44" s="8" t="s">
        <v>31</v>
      </c>
      <c r="M44" s="19">
        <v>0.40292549894632451</v>
      </c>
    </row>
    <row r="45" spans="12:13" x14ac:dyDescent="0.35">
      <c r="L45" s="8" t="s">
        <v>32</v>
      </c>
      <c r="M45" s="19">
        <v>0.43217497258437915</v>
      </c>
    </row>
    <row r="46" spans="12:13" x14ac:dyDescent="0.35">
      <c r="L46" s="8" t="s">
        <v>33</v>
      </c>
      <c r="M46" s="19">
        <v>0.48654909589565326</v>
      </c>
    </row>
    <row r="47" spans="12:13" x14ac:dyDescent="0.35">
      <c r="L47" s="8" t="s">
        <v>34</v>
      </c>
      <c r="M47" s="19">
        <v>0.3458366165831942</v>
      </c>
    </row>
    <row r="48" spans="12:13" x14ac:dyDescent="0.35">
      <c r="L48" s="8" t="s">
        <v>35</v>
      </c>
      <c r="M48" s="19">
        <v>0.47442184598580012</v>
      </c>
    </row>
    <row r="49" spans="12:13" x14ac:dyDescent="0.35">
      <c r="L49" s="8" t="s">
        <v>36</v>
      </c>
      <c r="M49" s="19">
        <v>0.28902816465490561</v>
      </c>
    </row>
    <row r="50" spans="12:13" x14ac:dyDescent="0.35">
      <c r="L50" s="8" t="s">
        <v>37</v>
      </c>
      <c r="M50" s="19">
        <v>0.33296021007655335</v>
      </c>
    </row>
    <row r="51" spans="12:13" x14ac:dyDescent="0.35">
      <c r="L51" s="8" t="s">
        <v>39</v>
      </c>
      <c r="M51" s="19">
        <v>0.47190580412799554</v>
      </c>
    </row>
    <row r="52" spans="12:13" x14ac:dyDescent="0.35">
      <c r="L52" s="8" t="s">
        <v>38</v>
      </c>
      <c r="M52" s="19">
        <v>0.39757911967988357</v>
      </c>
    </row>
    <row r="53" spans="12:13" x14ac:dyDescent="0.35">
      <c r="L53" s="8" t="s">
        <v>40</v>
      </c>
      <c r="M53" s="19">
        <v>0.24039827307069617</v>
      </c>
    </row>
    <row r="54" spans="12:13" x14ac:dyDescent="0.35">
      <c r="L54" s="8" t="s">
        <v>41</v>
      </c>
      <c r="M54" s="19">
        <v>0.38222639378969653</v>
      </c>
    </row>
    <row r="55" spans="12:13" x14ac:dyDescent="0.35">
      <c r="L55" s="8" t="s">
        <v>74</v>
      </c>
      <c r="M55" s="19">
        <v>17.799429496226839</v>
      </c>
    </row>
  </sheetData>
  <mergeCells count="4">
    <mergeCell ref="I1:J1"/>
    <mergeCell ref="L1:M1"/>
    <mergeCell ref="A1:E1"/>
    <mergeCell ref="R1:U1"/>
  </mergeCells>
  <pageMargins left="0.511811024" right="0.511811024" top="0.78740157499999996" bottom="0.78740157499999996" header="0.31496062000000002" footer="0.31496062000000002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52"/>
  <sheetViews>
    <sheetView showGridLines="0" tabSelected="1" topLeftCell="A35" workbookViewId="0">
      <selection activeCell="D53" sqref="D53"/>
    </sheetView>
  </sheetViews>
  <sheetFormatPr defaultRowHeight="14.5" x14ac:dyDescent="0.35"/>
  <cols>
    <col min="2" max="3" width="12" customWidth="1"/>
    <col min="4" max="4" width="13.6328125" bestFit="1" customWidth="1"/>
  </cols>
  <sheetData>
    <row r="2" spans="2:4" x14ac:dyDescent="0.35">
      <c r="B2" t="s">
        <v>12</v>
      </c>
      <c r="C2" t="s">
        <v>11</v>
      </c>
      <c r="D2" t="s">
        <v>10</v>
      </c>
    </row>
    <row r="3" spans="2:4" x14ac:dyDescent="0.35">
      <c r="B3" s="5" t="s">
        <v>16</v>
      </c>
      <c r="C3" t="s">
        <v>1</v>
      </c>
      <c r="D3" t="s">
        <v>91</v>
      </c>
    </row>
    <row r="4" spans="2:4" x14ac:dyDescent="0.35">
      <c r="B4" s="5" t="s">
        <v>17</v>
      </c>
      <c r="C4" t="s">
        <v>1</v>
      </c>
      <c r="D4" t="s">
        <v>92</v>
      </c>
    </row>
    <row r="5" spans="2:4" x14ac:dyDescent="0.35">
      <c r="B5" s="5" t="s">
        <v>18</v>
      </c>
      <c r="C5" t="s">
        <v>2</v>
      </c>
      <c r="D5" t="s">
        <v>93</v>
      </c>
    </row>
    <row r="6" spans="2:4" x14ac:dyDescent="0.35">
      <c r="B6" s="5" t="s">
        <v>19</v>
      </c>
      <c r="C6" t="s">
        <v>3</v>
      </c>
      <c r="D6" t="s">
        <v>91</v>
      </c>
    </row>
    <row r="7" spans="2:4" x14ac:dyDescent="0.35">
      <c r="B7" s="5" t="s">
        <v>20</v>
      </c>
      <c r="C7" t="s">
        <v>1</v>
      </c>
      <c r="D7" t="s">
        <v>93</v>
      </c>
    </row>
    <row r="8" spans="2:4" x14ac:dyDescent="0.35">
      <c r="B8" s="5" t="s">
        <v>21</v>
      </c>
      <c r="C8" t="s">
        <v>2</v>
      </c>
      <c r="D8" t="s">
        <v>94</v>
      </c>
    </row>
    <row r="9" spans="2:4" x14ac:dyDescent="0.35">
      <c r="B9" s="5" t="s">
        <v>22</v>
      </c>
      <c r="C9" t="s">
        <v>1</v>
      </c>
      <c r="D9" t="s">
        <v>95</v>
      </c>
    </row>
    <row r="10" spans="2:4" x14ac:dyDescent="0.35">
      <c r="B10" s="5" t="s">
        <v>23</v>
      </c>
      <c r="C10" t="s">
        <v>2</v>
      </c>
      <c r="D10" t="s">
        <v>96</v>
      </c>
    </row>
    <row r="11" spans="2:4" x14ac:dyDescent="0.35">
      <c r="B11" s="5" t="s">
        <v>24</v>
      </c>
      <c r="C11" t="s">
        <v>1</v>
      </c>
      <c r="D11" t="s">
        <v>95</v>
      </c>
    </row>
    <row r="12" spans="2:4" x14ac:dyDescent="0.35">
      <c r="B12" s="5" t="s">
        <v>25</v>
      </c>
      <c r="C12" t="s">
        <v>2</v>
      </c>
      <c r="D12" t="s">
        <v>97</v>
      </c>
    </row>
    <row r="13" spans="2:4" x14ac:dyDescent="0.35">
      <c r="B13" s="5" t="s">
        <v>26</v>
      </c>
      <c r="C13" t="s">
        <v>3</v>
      </c>
      <c r="D13" t="s">
        <v>98</v>
      </c>
    </row>
    <row r="14" spans="2:4" x14ac:dyDescent="0.35">
      <c r="B14" s="5" t="s">
        <v>27</v>
      </c>
      <c r="C14" t="s">
        <v>2</v>
      </c>
      <c r="D14" t="s">
        <v>92</v>
      </c>
    </row>
    <row r="15" spans="2:4" x14ac:dyDescent="0.35">
      <c r="B15" s="5" t="s">
        <v>28</v>
      </c>
      <c r="C15" t="s">
        <v>1</v>
      </c>
      <c r="D15" t="s">
        <v>94</v>
      </c>
    </row>
    <row r="16" spans="2:4" x14ac:dyDescent="0.35">
      <c r="B16" s="5" t="s">
        <v>29</v>
      </c>
      <c r="C16" t="s">
        <v>1</v>
      </c>
      <c r="D16" t="s">
        <v>93</v>
      </c>
    </row>
    <row r="17" spans="2:4" x14ac:dyDescent="0.35">
      <c r="B17" s="5" t="s">
        <v>30</v>
      </c>
      <c r="C17" t="s">
        <v>3</v>
      </c>
      <c r="D17" t="s">
        <v>99</v>
      </c>
    </row>
    <row r="18" spans="2:4" x14ac:dyDescent="0.35">
      <c r="B18" s="5" t="s">
        <v>31</v>
      </c>
      <c r="C18" t="s">
        <v>3</v>
      </c>
      <c r="D18" t="s">
        <v>100</v>
      </c>
    </row>
    <row r="19" spans="2:4" x14ac:dyDescent="0.35">
      <c r="B19" s="5" t="s">
        <v>32</v>
      </c>
      <c r="C19" t="s">
        <v>2</v>
      </c>
      <c r="D19" t="s">
        <v>100</v>
      </c>
    </row>
    <row r="20" spans="2:4" x14ac:dyDescent="0.35">
      <c r="B20" s="5" t="s">
        <v>33</v>
      </c>
      <c r="C20" t="s">
        <v>2</v>
      </c>
      <c r="D20" t="s">
        <v>96</v>
      </c>
    </row>
    <row r="21" spans="2:4" x14ac:dyDescent="0.35">
      <c r="B21" s="5" t="s">
        <v>34</v>
      </c>
      <c r="C21" t="s">
        <v>3</v>
      </c>
      <c r="D21" t="s">
        <v>94</v>
      </c>
    </row>
    <row r="22" spans="2:4" x14ac:dyDescent="0.35">
      <c r="B22" s="5" t="s">
        <v>35</v>
      </c>
      <c r="C22" t="s">
        <v>1</v>
      </c>
      <c r="D22" t="s">
        <v>99</v>
      </c>
    </row>
    <row r="23" spans="2:4" x14ac:dyDescent="0.35">
      <c r="B23" s="5" t="s">
        <v>36</v>
      </c>
      <c r="C23" t="s">
        <v>1</v>
      </c>
      <c r="D23" t="s">
        <v>99</v>
      </c>
    </row>
    <row r="24" spans="2:4" x14ac:dyDescent="0.35">
      <c r="B24" s="5" t="s">
        <v>37</v>
      </c>
      <c r="C24" t="s">
        <v>2</v>
      </c>
      <c r="D24" t="s">
        <v>95</v>
      </c>
    </row>
    <row r="25" spans="2:4" x14ac:dyDescent="0.35">
      <c r="B25" s="5" t="s">
        <v>38</v>
      </c>
      <c r="C25" t="s">
        <v>3</v>
      </c>
      <c r="D25" t="s">
        <v>95</v>
      </c>
    </row>
    <row r="26" spans="2:4" x14ac:dyDescent="0.35">
      <c r="B26" s="5" t="s">
        <v>39</v>
      </c>
      <c r="C26" t="s">
        <v>2</v>
      </c>
      <c r="D26" t="s">
        <v>98</v>
      </c>
    </row>
    <row r="27" spans="2:4" x14ac:dyDescent="0.35">
      <c r="B27" s="5" t="s">
        <v>40</v>
      </c>
      <c r="C27" t="s">
        <v>3</v>
      </c>
      <c r="D27" t="s">
        <v>92</v>
      </c>
    </row>
    <row r="28" spans="2:4" x14ac:dyDescent="0.35">
      <c r="B28" s="5" t="s">
        <v>41</v>
      </c>
      <c r="C28" t="s">
        <v>1</v>
      </c>
      <c r="D28" t="s">
        <v>99</v>
      </c>
    </row>
    <row r="29" spans="2:4" x14ac:dyDescent="0.35">
      <c r="B29" s="5" t="s">
        <v>42</v>
      </c>
      <c r="C29" t="s">
        <v>3</v>
      </c>
      <c r="D29" t="s">
        <v>94</v>
      </c>
    </row>
    <row r="30" spans="2:4" x14ac:dyDescent="0.35">
      <c r="B30" s="5" t="s">
        <v>43</v>
      </c>
      <c r="C30" t="s">
        <v>3</v>
      </c>
      <c r="D30" t="s">
        <v>95</v>
      </c>
    </row>
    <row r="31" spans="2:4" x14ac:dyDescent="0.35">
      <c r="B31" s="5" t="s">
        <v>44</v>
      </c>
      <c r="C31" t="s">
        <v>3</v>
      </c>
      <c r="D31" t="s">
        <v>100</v>
      </c>
    </row>
    <row r="32" spans="2:4" x14ac:dyDescent="0.35">
      <c r="B32" s="5" t="s">
        <v>45</v>
      </c>
      <c r="C32" t="s">
        <v>2</v>
      </c>
      <c r="D32" t="s">
        <v>93</v>
      </c>
    </row>
    <row r="33" spans="2:4" x14ac:dyDescent="0.35">
      <c r="B33" s="5" t="s">
        <v>46</v>
      </c>
      <c r="C33" t="s">
        <v>2</v>
      </c>
      <c r="D33" t="s">
        <v>96</v>
      </c>
    </row>
    <row r="34" spans="2:4" x14ac:dyDescent="0.35">
      <c r="B34" s="5" t="s">
        <v>47</v>
      </c>
      <c r="C34" t="s">
        <v>2</v>
      </c>
      <c r="D34" t="s">
        <v>96</v>
      </c>
    </row>
    <row r="35" spans="2:4" x14ac:dyDescent="0.35">
      <c r="B35" s="5" t="s">
        <v>48</v>
      </c>
      <c r="C35" t="s">
        <v>2</v>
      </c>
      <c r="D35" t="s">
        <v>100</v>
      </c>
    </row>
    <row r="36" spans="2:4" x14ac:dyDescent="0.35">
      <c r="B36" s="5" t="s">
        <v>49</v>
      </c>
      <c r="C36" t="s">
        <v>1</v>
      </c>
      <c r="D36" t="s">
        <v>96</v>
      </c>
    </row>
    <row r="37" spans="2:4" x14ac:dyDescent="0.35">
      <c r="B37" s="5" t="s">
        <v>50</v>
      </c>
      <c r="C37" t="s">
        <v>1</v>
      </c>
      <c r="D37" t="s">
        <v>96</v>
      </c>
    </row>
    <row r="38" spans="2:4" x14ac:dyDescent="0.35">
      <c r="B38" s="5" t="s">
        <v>51</v>
      </c>
      <c r="C38" t="s">
        <v>2</v>
      </c>
      <c r="D38" t="s">
        <v>93</v>
      </c>
    </row>
    <row r="39" spans="2:4" x14ac:dyDescent="0.35">
      <c r="B39" s="5" t="s">
        <v>52</v>
      </c>
      <c r="C39" t="s">
        <v>3</v>
      </c>
      <c r="D39" t="s">
        <v>99</v>
      </c>
    </row>
    <row r="40" spans="2:4" x14ac:dyDescent="0.35">
      <c r="B40" s="5" t="s">
        <v>53</v>
      </c>
      <c r="C40" t="s">
        <v>2</v>
      </c>
      <c r="D40" t="s">
        <v>95</v>
      </c>
    </row>
    <row r="41" spans="2:4" x14ac:dyDescent="0.35">
      <c r="B41" s="5" t="s">
        <v>54</v>
      </c>
      <c r="C41" t="s">
        <v>3</v>
      </c>
      <c r="D41" t="s">
        <v>92</v>
      </c>
    </row>
    <row r="42" spans="2:4" x14ac:dyDescent="0.35">
      <c r="B42" s="5" t="s">
        <v>55</v>
      </c>
      <c r="C42" t="s">
        <v>1</v>
      </c>
      <c r="D42" t="s">
        <v>100</v>
      </c>
    </row>
    <row r="43" spans="2:4" x14ac:dyDescent="0.35">
      <c r="B43" s="5" t="s">
        <v>56</v>
      </c>
      <c r="C43" t="s">
        <v>1</v>
      </c>
      <c r="D43" t="s">
        <v>95</v>
      </c>
    </row>
    <row r="44" spans="2:4" x14ac:dyDescent="0.35">
      <c r="B44" s="5" t="s">
        <v>57</v>
      </c>
      <c r="C44" t="s">
        <v>3</v>
      </c>
      <c r="D44" t="s">
        <v>93</v>
      </c>
    </row>
    <row r="45" spans="2:4" x14ac:dyDescent="0.35">
      <c r="B45" s="5" t="s">
        <v>58</v>
      </c>
      <c r="C45" t="s">
        <v>2</v>
      </c>
      <c r="D45" t="s">
        <v>91</v>
      </c>
    </row>
    <row r="46" spans="2:4" x14ac:dyDescent="0.35">
      <c r="B46" s="5" t="s">
        <v>59</v>
      </c>
      <c r="C46" t="s">
        <v>1</v>
      </c>
      <c r="D46" t="s">
        <v>96</v>
      </c>
    </row>
    <row r="47" spans="2:4" x14ac:dyDescent="0.35">
      <c r="B47" s="5" t="s">
        <v>60</v>
      </c>
      <c r="C47" t="s">
        <v>2</v>
      </c>
      <c r="D47" t="s">
        <v>100</v>
      </c>
    </row>
    <row r="48" spans="2:4" x14ac:dyDescent="0.35">
      <c r="B48" s="5" t="s">
        <v>61</v>
      </c>
      <c r="C48" t="s">
        <v>1</v>
      </c>
      <c r="D48" t="s">
        <v>99</v>
      </c>
    </row>
    <row r="49" spans="2:4" x14ac:dyDescent="0.35">
      <c r="B49" s="5" t="s">
        <v>62</v>
      </c>
      <c r="C49" t="s">
        <v>2</v>
      </c>
      <c r="D49" t="s">
        <v>94</v>
      </c>
    </row>
    <row r="50" spans="2:4" x14ac:dyDescent="0.35">
      <c r="B50" s="5" t="s">
        <v>63</v>
      </c>
      <c r="C50" t="s">
        <v>1</v>
      </c>
      <c r="D50" t="s">
        <v>92</v>
      </c>
    </row>
    <row r="51" spans="2:4" x14ac:dyDescent="0.35">
      <c r="B51" s="5" t="s">
        <v>64</v>
      </c>
      <c r="C51" t="s">
        <v>2</v>
      </c>
      <c r="D51" t="s">
        <v>98</v>
      </c>
    </row>
    <row r="52" spans="2:4" x14ac:dyDescent="0.35">
      <c r="B52" s="5" t="s">
        <v>65</v>
      </c>
      <c r="C52" t="s">
        <v>1</v>
      </c>
      <c r="D52" t="s">
        <v>96</v>
      </c>
    </row>
  </sheetData>
  <pageMargins left="0.7" right="0.7" top="0.75" bottom="0.75" header="0.3" footer="0.3"/>
  <headerFooter>
    <oddFooter>&amp;L_x000D_&amp;1#&amp;"Calibri"&amp;7&amp;K000000 ***Este documento está clasificado como USO INTERNO por TELEFÓNICA.
***This document is classified as INTERNAL USE by TELEFÓNICA.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7890A-4F37-4FCF-94BA-8F11DDEE991D}">
  <dimension ref="B2:G302"/>
  <sheetViews>
    <sheetView showGridLines="0" workbookViewId="0">
      <selection activeCell="F1" sqref="F1:F1048576"/>
    </sheetView>
  </sheetViews>
  <sheetFormatPr defaultRowHeight="14.5" x14ac:dyDescent="0.35"/>
  <cols>
    <col min="1" max="1" width="11.453125" bestFit="1" customWidth="1"/>
    <col min="2" max="2" width="10.453125" bestFit="1" customWidth="1"/>
    <col min="3" max="3" width="12" style="5" customWidth="1"/>
    <col min="4" max="4" width="11.1796875" style="5" customWidth="1"/>
    <col min="5" max="5" width="16.1796875" style="6" bestFit="1" customWidth="1"/>
    <col min="6" max="6" width="14.54296875" style="6" bestFit="1" customWidth="1"/>
    <col min="7" max="7" width="14.54296875" bestFit="1" customWidth="1"/>
    <col min="8" max="8" width="14.26953125" customWidth="1"/>
  </cols>
  <sheetData>
    <row r="2" spans="2:7" x14ac:dyDescent="0.35">
      <c r="B2" t="s">
        <v>90</v>
      </c>
      <c r="C2" s="1" t="s">
        <v>0</v>
      </c>
      <c r="D2" s="1" t="s">
        <v>4</v>
      </c>
      <c r="E2" s="4" t="s">
        <v>14</v>
      </c>
      <c r="F2" s="4" t="s">
        <v>13</v>
      </c>
    </row>
    <row r="3" spans="2:7" x14ac:dyDescent="0.35">
      <c r="B3" t="str">
        <f>CONCATENATE(Tabela13[[#This Row],[cliente_id]],Tabela13[[#This Row],[mes_ano]])</f>
        <v>A2024-12</v>
      </c>
      <c r="C3" s="5" t="s">
        <v>16</v>
      </c>
      <c r="D3" s="5" t="s">
        <v>6</v>
      </c>
      <c r="E3" s="6">
        <v>21231</v>
      </c>
      <c r="F3" s="6">
        <v>13598.65</v>
      </c>
      <c r="G3" s="2"/>
    </row>
    <row r="4" spans="2:7" x14ac:dyDescent="0.35">
      <c r="B4" t="str">
        <f>CONCATENATE(Tabela13[[#This Row],[cliente_id]],Tabela13[[#This Row],[mes_ano]])</f>
        <v>A2025-01</v>
      </c>
      <c r="C4" s="5" t="s">
        <v>16</v>
      </c>
      <c r="D4" s="5" t="s">
        <v>66</v>
      </c>
      <c r="E4" s="6">
        <v>35273</v>
      </c>
      <c r="F4" s="6">
        <v>24414.45</v>
      </c>
    </row>
    <row r="5" spans="2:7" x14ac:dyDescent="0.35">
      <c r="B5" t="str">
        <f>CONCATENATE(Tabela13[[#This Row],[cliente_id]],Tabela13[[#This Row],[mes_ano]])</f>
        <v>A2025-02</v>
      </c>
      <c r="C5" s="5" t="s">
        <v>16</v>
      </c>
      <c r="D5" s="5" t="s">
        <v>67</v>
      </c>
      <c r="E5" s="6">
        <v>12897</v>
      </c>
      <c r="F5" s="6">
        <v>7662.32</v>
      </c>
    </row>
    <row r="6" spans="2:7" x14ac:dyDescent="0.35">
      <c r="B6" t="str">
        <f>CONCATENATE(Tabela13[[#This Row],[cliente_id]],Tabela13[[#This Row],[mes_ano]])</f>
        <v>A2025-03</v>
      </c>
      <c r="C6" s="5" t="s">
        <v>16</v>
      </c>
      <c r="D6" s="5" t="s">
        <v>88</v>
      </c>
      <c r="E6" s="6">
        <v>29303</v>
      </c>
      <c r="F6" s="6">
        <v>16188.04</v>
      </c>
    </row>
    <row r="7" spans="2:7" x14ac:dyDescent="0.35">
      <c r="B7" t="str">
        <f>CONCATENATE(Tabela13[[#This Row],[cliente_id]],Tabela13[[#This Row],[mes_ano]])</f>
        <v>A2025-04</v>
      </c>
      <c r="C7" s="5" t="s">
        <v>16</v>
      </c>
      <c r="D7" s="5" t="s">
        <v>68</v>
      </c>
      <c r="E7" s="6">
        <v>42192</v>
      </c>
      <c r="F7" s="6">
        <v>26160.68</v>
      </c>
    </row>
    <row r="8" spans="2:7" x14ac:dyDescent="0.35">
      <c r="B8" t="str">
        <f>CONCATENATE(Tabela13[[#This Row],[cliente_id]],Tabela13[[#This Row],[mes_ano]])</f>
        <v>A2025-05</v>
      </c>
      <c r="C8" s="5" t="s">
        <v>16</v>
      </c>
      <c r="D8" s="5" t="s">
        <v>69</v>
      </c>
      <c r="E8" s="6">
        <v>13155</v>
      </c>
      <c r="F8" s="6">
        <v>7317.15</v>
      </c>
    </row>
    <row r="9" spans="2:7" x14ac:dyDescent="0.35">
      <c r="B9" t="str">
        <f>CONCATENATE(Tabela13[[#This Row],[cliente_id]],Tabela13[[#This Row],[mes_ano]])</f>
        <v>B2024-12</v>
      </c>
      <c r="C9" s="5" t="s">
        <v>17</v>
      </c>
      <c r="D9" s="5" t="s">
        <v>6</v>
      </c>
      <c r="E9" s="6">
        <v>39211</v>
      </c>
      <c r="F9" s="6">
        <v>25382.97</v>
      </c>
    </row>
    <row r="10" spans="2:7" x14ac:dyDescent="0.35">
      <c r="B10" t="str">
        <f>CONCATENATE(Tabela13[[#This Row],[cliente_id]],Tabela13[[#This Row],[mes_ano]])</f>
        <v>B2025-01</v>
      </c>
      <c r="C10" s="5" t="s">
        <v>17</v>
      </c>
      <c r="D10" s="5" t="s">
        <v>66</v>
      </c>
      <c r="E10" s="6">
        <v>26027</v>
      </c>
      <c r="F10" s="6">
        <v>19476.55</v>
      </c>
    </row>
    <row r="11" spans="2:7" x14ac:dyDescent="0.35">
      <c r="B11" t="str">
        <f>CONCATENATE(Tabela13[[#This Row],[cliente_id]],Tabela13[[#This Row],[mes_ano]])</f>
        <v>B2025-02</v>
      </c>
      <c r="C11" s="5" t="s">
        <v>17</v>
      </c>
      <c r="D11" s="5" t="s">
        <v>67</v>
      </c>
      <c r="E11" s="6">
        <v>35119</v>
      </c>
      <c r="F11" s="6">
        <v>20804.3</v>
      </c>
    </row>
    <row r="12" spans="2:7" x14ac:dyDescent="0.35">
      <c r="B12" t="str">
        <f>CONCATENATE(Tabela13[[#This Row],[cliente_id]],Tabela13[[#This Row],[mes_ano]])</f>
        <v>B2025-03</v>
      </c>
      <c r="C12" s="5" t="s">
        <v>17</v>
      </c>
      <c r="D12" s="5" t="s">
        <v>88</v>
      </c>
      <c r="E12" s="6">
        <v>21363</v>
      </c>
      <c r="F12" s="6">
        <v>16304.52</v>
      </c>
    </row>
    <row r="13" spans="2:7" x14ac:dyDescent="0.35">
      <c r="B13" t="str">
        <f>CONCATENATE(Tabela13[[#This Row],[cliente_id]],Tabela13[[#This Row],[mes_ano]])</f>
        <v>B2025-04</v>
      </c>
      <c r="C13" s="5" t="s">
        <v>17</v>
      </c>
      <c r="D13" s="5" t="s">
        <v>68</v>
      </c>
      <c r="E13" s="6">
        <v>7179</v>
      </c>
      <c r="F13" s="6">
        <v>4489.8500000000004</v>
      </c>
    </row>
    <row r="14" spans="2:7" x14ac:dyDescent="0.35">
      <c r="B14" t="str">
        <f>CONCATENATE(Tabela13[[#This Row],[cliente_id]],Tabela13[[#This Row],[mes_ano]])</f>
        <v>B2025-05</v>
      </c>
      <c r="C14" s="5" t="s">
        <v>17</v>
      </c>
      <c r="D14" s="5" t="s">
        <v>69</v>
      </c>
      <c r="E14" s="6">
        <v>26815</v>
      </c>
      <c r="F14" s="6">
        <v>14788.29</v>
      </c>
    </row>
    <row r="15" spans="2:7" x14ac:dyDescent="0.35">
      <c r="B15" t="str">
        <f>CONCATENATE(Tabela13[[#This Row],[cliente_id]],Tabela13[[#This Row],[mes_ano]])</f>
        <v>C2024-12</v>
      </c>
      <c r="C15" s="5" t="s">
        <v>18</v>
      </c>
      <c r="D15" s="5" t="s">
        <v>6</v>
      </c>
      <c r="E15" s="6">
        <v>15923</v>
      </c>
      <c r="F15" s="6">
        <v>11332.07</v>
      </c>
    </row>
    <row r="16" spans="2:7" x14ac:dyDescent="0.35">
      <c r="B16" t="str">
        <f>CONCATENATE(Tabela13[[#This Row],[cliente_id]],Tabela13[[#This Row],[mes_ano]])</f>
        <v>C2025-01</v>
      </c>
      <c r="C16" s="5" t="s">
        <v>18</v>
      </c>
      <c r="D16" s="5" t="s">
        <v>66</v>
      </c>
      <c r="E16" s="6">
        <v>4922</v>
      </c>
      <c r="F16" s="6">
        <v>3371.62</v>
      </c>
    </row>
    <row r="17" spans="2:6" x14ac:dyDescent="0.35">
      <c r="B17" t="str">
        <f>CONCATENATE(Tabela13[[#This Row],[cliente_id]],Tabela13[[#This Row],[mes_ano]])</f>
        <v>C2025-02</v>
      </c>
      <c r="C17" s="5" t="s">
        <v>18</v>
      </c>
      <c r="D17" s="5" t="s">
        <v>67</v>
      </c>
      <c r="E17" s="6">
        <v>46087</v>
      </c>
      <c r="F17" s="6">
        <v>23605.5</v>
      </c>
    </row>
    <row r="18" spans="2:6" x14ac:dyDescent="0.35">
      <c r="B18" t="str">
        <f>CONCATENATE(Tabela13[[#This Row],[cliente_id]],Tabela13[[#This Row],[mes_ano]])</f>
        <v>C2025-03</v>
      </c>
      <c r="C18" s="5" t="s">
        <v>18</v>
      </c>
      <c r="D18" s="5" t="s">
        <v>88</v>
      </c>
      <c r="E18" s="6">
        <v>24934</v>
      </c>
      <c r="F18" s="6">
        <v>15050.3</v>
      </c>
    </row>
    <row r="19" spans="2:6" x14ac:dyDescent="0.35">
      <c r="B19" t="str">
        <f>CONCATENATE(Tabela13[[#This Row],[cliente_id]],Tabela13[[#This Row],[mes_ano]])</f>
        <v>C2025-04</v>
      </c>
      <c r="C19" s="5" t="s">
        <v>18</v>
      </c>
      <c r="D19" s="5" t="s">
        <v>68</v>
      </c>
      <c r="E19" s="6">
        <v>10325</v>
      </c>
      <c r="F19" s="6">
        <v>6350.68</v>
      </c>
    </row>
    <row r="20" spans="2:6" x14ac:dyDescent="0.35">
      <c r="B20" t="str">
        <f>CONCATENATE(Tabela13[[#This Row],[cliente_id]],Tabela13[[#This Row],[mes_ano]])</f>
        <v>C2025-05</v>
      </c>
      <c r="C20" s="5" t="s">
        <v>18</v>
      </c>
      <c r="D20" s="5" t="s">
        <v>69</v>
      </c>
      <c r="E20" s="6">
        <v>15620</v>
      </c>
      <c r="F20" s="6">
        <v>11100.81</v>
      </c>
    </row>
    <row r="21" spans="2:6" x14ac:dyDescent="0.35">
      <c r="B21" t="str">
        <f>CONCATENATE(Tabela13[[#This Row],[cliente_id]],Tabela13[[#This Row],[mes_ano]])</f>
        <v>D2024-12</v>
      </c>
      <c r="C21" s="5" t="s">
        <v>19</v>
      </c>
      <c r="D21" s="5" t="s">
        <v>6</v>
      </c>
      <c r="E21" s="6">
        <v>14806</v>
      </c>
      <c r="F21" s="6">
        <v>11759.08</v>
      </c>
    </row>
    <row r="22" spans="2:6" x14ac:dyDescent="0.35">
      <c r="B22" t="str">
        <f>CONCATENATE(Tabela13[[#This Row],[cliente_id]],Tabela13[[#This Row],[mes_ano]])</f>
        <v>D2025-01</v>
      </c>
      <c r="C22" s="5" t="s">
        <v>19</v>
      </c>
      <c r="D22" s="5" t="s">
        <v>66</v>
      </c>
      <c r="E22" s="6">
        <v>38204</v>
      </c>
      <c r="F22" s="6">
        <v>22071.97</v>
      </c>
    </row>
    <row r="23" spans="2:6" x14ac:dyDescent="0.35">
      <c r="B23" t="str">
        <f>CONCATENATE(Tabela13[[#This Row],[cliente_id]],Tabela13[[#This Row],[mes_ano]])</f>
        <v>D2025-02</v>
      </c>
      <c r="C23" s="5" t="s">
        <v>19</v>
      </c>
      <c r="D23" s="5" t="s">
        <v>67</v>
      </c>
      <c r="E23" s="6">
        <v>45343</v>
      </c>
      <c r="F23" s="6">
        <v>27404.74</v>
      </c>
    </row>
    <row r="24" spans="2:6" x14ac:dyDescent="0.35">
      <c r="B24" t="str">
        <f>CONCATENATE(Tabela13[[#This Row],[cliente_id]],Tabela13[[#This Row],[mes_ano]])</f>
        <v>D2025-03</v>
      </c>
      <c r="C24" s="5" t="s">
        <v>19</v>
      </c>
      <c r="D24" s="5" t="s">
        <v>88</v>
      </c>
      <c r="E24" s="6">
        <v>4530</v>
      </c>
      <c r="F24" s="6">
        <v>3245.71</v>
      </c>
    </row>
    <row r="25" spans="2:6" x14ac:dyDescent="0.35">
      <c r="B25" t="str">
        <f>CONCATENATE(Tabela13[[#This Row],[cliente_id]],Tabela13[[#This Row],[mes_ano]])</f>
        <v>D2025-04</v>
      </c>
      <c r="C25" s="5" t="s">
        <v>19</v>
      </c>
      <c r="D25" s="5" t="s">
        <v>68</v>
      </c>
      <c r="E25" s="6">
        <v>37571</v>
      </c>
      <c r="F25" s="6">
        <v>23561.599999999999</v>
      </c>
    </row>
    <row r="26" spans="2:6" x14ac:dyDescent="0.35">
      <c r="B26" t="str">
        <f>CONCATENATE(Tabela13[[#This Row],[cliente_id]],Tabela13[[#This Row],[mes_ano]])</f>
        <v>D2025-05</v>
      </c>
      <c r="C26" s="5" t="s">
        <v>19</v>
      </c>
      <c r="D26" s="5" t="s">
        <v>69</v>
      </c>
      <c r="E26" s="6">
        <v>4056</v>
      </c>
      <c r="F26" s="6">
        <v>2302.59</v>
      </c>
    </row>
    <row r="27" spans="2:6" x14ac:dyDescent="0.35">
      <c r="B27" t="str">
        <f>CONCATENATE(Tabela13[[#This Row],[cliente_id]],Tabela13[[#This Row],[mes_ano]])</f>
        <v>E2024-12</v>
      </c>
      <c r="C27" s="5" t="s">
        <v>20</v>
      </c>
      <c r="D27" s="5" t="s">
        <v>6</v>
      </c>
      <c r="E27" s="6">
        <v>2657</v>
      </c>
      <c r="F27" s="6">
        <v>1928.07</v>
      </c>
    </row>
    <row r="28" spans="2:6" x14ac:dyDescent="0.35">
      <c r="B28" t="str">
        <f>CONCATENATE(Tabela13[[#This Row],[cliente_id]],Tabela13[[#This Row],[mes_ano]])</f>
        <v>E2025-01</v>
      </c>
      <c r="C28" s="5" t="s">
        <v>20</v>
      </c>
      <c r="D28" s="5" t="s">
        <v>66</v>
      </c>
      <c r="E28" s="6">
        <v>11565</v>
      </c>
      <c r="F28" s="6">
        <v>8763.25</v>
      </c>
    </row>
    <row r="29" spans="2:6" x14ac:dyDescent="0.35">
      <c r="B29" t="str">
        <f>CONCATENATE(Tabela13[[#This Row],[cliente_id]],Tabela13[[#This Row],[mes_ano]])</f>
        <v>E2025-02</v>
      </c>
      <c r="C29" s="5" t="s">
        <v>20</v>
      </c>
      <c r="D29" s="5" t="s">
        <v>67</v>
      </c>
      <c r="E29" s="6">
        <v>36553</v>
      </c>
      <c r="F29" s="6">
        <v>24262.11</v>
      </c>
    </row>
    <row r="30" spans="2:6" x14ac:dyDescent="0.35">
      <c r="B30" t="str">
        <f>CONCATENATE(Tabela13[[#This Row],[cliente_id]],Tabela13[[#This Row],[mes_ano]])</f>
        <v>E2025-03</v>
      </c>
      <c r="C30" s="5" t="s">
        <v>20</v>
      </c>
      <c r="D30" s="5" t="s">
        <v>88</v>
      </c>
      <c r="E30" s="6">
        <v>28310</v>
      </c>
      <c r="F30" s="6">
        <v>17281.939999999999</v>
      </c>
    </row>
    <row r="31" spans="2:6" x14ac:dyDescent="0.35">
      <c r="B31" t="str">
        <f>CONCATENATE(Tabela13[[#This Row],[cliente_id]],Tabela13[[#This Row],[mes_ano]])</f>
        <v>E2025-04</v>
      </c>
      <c r="C31" s="5" t="s">
        <v>20</v>
      </c>
      <c r="D31" s="5" t="s">
        <v>68</v>
      </c>
      <c r="E31" s="6">
        <v>46096</v>
      </c>
      <c r="F31" s="6">
        <v>32122.080000000002</v>
      </c>
    </row>
    <row r="32" spans="2:6" x14ac:dyDescent="0.35">
      <c r="B32" t="str">
        <f>CONCATENATE(Tabela13[[#This Row],[cliente_id]],Tabela13[[#This Row],[mes_ano]])</f>
        <v>E2025-05</v>
      </c>
      <c r="C32" s="5" t="s">
        <v>20</v>
      </c>
      <c r="D32" s="5" t="s">
        <v>69</v>
      </c>
      <c r="E32" s="6">
        <v>43742</v>
      </c>
      <c r="F32" s="6">
        <v>29148.19</v>
      </c>
    </row>
    <row r="33" spans="2:6" x14ac:dyDescent="0.35">
      <c r="B33" t="str">
        <f>CONCATENATE(Tabela13[[#This Row],[cliente_id]],Tabela13[[#This Row],[mes_ano]])</f>
        <v>F2024-12</v>
      </c>
      <c r="C33" s="5" t="s">
        <v>21</v>
      </c>
      <c r="D33" s="5" t="s">
        <v>6</v>
      </c>
      <c r="E33" s="6">
        <v>30245</v>
      </c>
      <c r="F33" s="6">
        <v>17225.669999999998</v>
      </c>
    </row>
    <row r="34" spans="2:6" x14ac:dyDescent="0.35">
      <c r="B34" t="str">
        <f>CONCATENATE(Tabela13[[#This Row],[cliente_id]],Tabela13[[#This Row],[mes_ano]])</f>
        <v>F2025-01</v>
      </c>
      <c r="C34" s="5" t="s">
        <v>21</v>
      </c>
      <c r="D34" s="5" t="s">
        <v>66</v>
      </c>
      <c r="E34" s="6">
        <v>19225</v>
      </c>
      <c r="F34" s="6">
        <v>13198.56</v>
      </c>
    </row>
    <row r="35" spans="2:6" x14ac:dyDescent="0.35">
      <c r="B35" t="str">
        <f>CONCATENATE(Tabela13[[#This Row],[cliente_id]],Tabela13[[#This Row],[mes_ano]])</f>
        <v>F2025-02</v>
      </c>
      <c r="C35" s="5" t="s">
        <v>21</v>
      </c>
      <c r="D35" s="5" t="s">
        <v>67</v>
      </c>
      <c r="E35" s="6">
        <v>14920</v>
      </c>
      <c r="F35" s="6">
        <v>9956.4599999999991</v>
      </c>
    </row>
    <row r="36" spans="2:6" x14ac:dyDescent="0.35">
      <c r="B36" t="str">
        <f>CONCATENATE(Tabela13[[#This Row],[cliente_id]],Tabela13[[#This Row],[mes_ano]])</f>
        <v>F2025-03</v>
      </c>
      <c r="C36" s="5" t="s">
        <v>21</v>
      </c>
      <c r="D36" s="5" t="s">
        <v>88</v>
      </c>
      <c r="E36" s="6">
        <v>2898</v>
      </c>
      <c r="F36" s="6">
        <v>1676.48</v>
      </c>
    </row>
    <row r="37" spans="2:6" x14ac:dyDescent="0.35">
      <c r="B37" t="str">
        <f>CONCATENATE(Tabela13[[#This Row],[cliente_id]],Tabela13[[#This Row],[mes_ano]])</f>
        <v>F2025-04</v>
      </c>
      <c r="C37" s="5" t="s">
        <v>21</v>
      </c>
      <c r="D37" s="5" t="s">
        <v>68</v>
      </c>
      <c r="E37" s="6">
        <v>4717</v>
      </c>
      <c r="F37" s="6">
        <v>3441.2</v>
      </c>
    </row>
    <row r="38" spans="2:6" x14ac:dyDescent="0.35">
      <c r="B38" t="str">
        <f>CONCATENATE(Tabela13[[#This Row],[cliente_id]],Tabela13[[#This Row],[mes_ano]])</f>
        <v>F2025-05</v>
      </c>
      <c r="C38" s="5" t="s">
        <v>21</v>
      </c>
      <c r="D38" s="5" t="s">
        <v>69</v>
      </c>
      <c r="E38" s="6">
        <v>43205</v>
      </c>
      <c r="F38" s="6">
        <v>26285.81</v>
      </c>
    </row>
    <row r="39" spans="2:6" x14ac:dyDescent="0.35">
      <c r="B39" t="str">
        <f>CONCATENATE(Tabela13[[#This Row],[cliente_id]],Tabela13[[#This Row],[mes_ano]])</f>
        <v>G2024-12</v>
      </c>
      <c r="C39" s="5" t="s">
        <v>22</v>
      </c>
      <c r="D39" s="5" t="s">
        <v>6</v>
      </c>
      <c r="E39" s="6">
        <v>45635</v>
      </c>
      <c r="F39" s="6">
        <v>23769.57</v>
      </c>
    </row>
    <row r="40" spans="2:6" x14ac:dyDescent="0.35">
      <c r="B40" t="str">
        <f>CONCATENATE(Tabela13[[#This Row],[cliente_id]],Tabela13[[#This Row],[mes_ano]])</f>
        <v>G2025-01</v>
      </c>
      <c r="C40" s="5" t="s">
        <v>22</v>
      </c>
      <c r="D40" s="5" t="s">
        <v>66</v>
      </c>
      <c r="E40" s="6">
        <v>34170</v>
      </c>
      <c r="F40" s="6">
        <v>20568.41</v>
      </c>
    </row>
    <row r="41" spans="2:6" x14ac:dyDescent="0.35">
      <c r="B41" t="str">
        <f>CONCATENATE(Tabela13[[#This Row],[cliente_id]],Tabela13[[#This Row],[mes_ano]])</f>
        <v>G2025-02</v>
      </c>
      <c r="C41" s="5" t="s">
        <v>22</v>
      </c>
      <c r="D41" s="5" t="s">
        <v>67</v>
      </c>
      <c r="E41" s="6">
        <v>17007</v>
      </c>
      <c r="F41" s="6">
        <v>9132.7999999999993</v>
      </c>
    </row>
    <row r="42" spans="2:6" x14ac:dyDescent="0.35">
      <c r="B42" t="str">
        <f>CONCATENATE(Tabela13[[#This Row],[cliente_id]],Tabela13[[#This Row],[mes_ano]])</f>
        <v>G2025-03</v>
      </c>
      <c r="C42" s="5" t="s">
        <v>22</v>
      </c>
      <c r="D42" s="5" t="s">
        <v>88</v>
      </c>
      <c r="E42" s="6">
        <v>3752</v>
      </c>
      <c r="F42" s="6">
        <v>2728.99</v>
      </c>
    </row>
    <row r="43" spans="2:6" x14ac:dyDescent="0.35">
      <c r="B43" t="str">
        <f>CONCATENATE(Tabela13[[#This Row],[cliente_id]],Tabela13[[#This Row],[mes_ano]])</f>
        <v>G2025-04</v>
      </c>
      <c r="C43" s="5" t="s">
        <v>22</v>
      </c>
      <c r="D43" s="5" t="s">
        <v>68</v>
      </c>
      <c r="E43" s="6">
        <v>48439</v>
      </c>
      <c r="F43" s="6">
        <v>30513.5</v>
      </c>
    </row>
    <row r="44" spans="2:6" x14ac:dyDescent="0.35">
      <c r="B44" t="str">
        <f>CONCATENATE(Tabela13[[#This Row],[cliente_id]],Tabela13[[#This Row],[mes_ano]])</f>
        <v>G2025-05</v>
      </c>
      <c r="C44" s="5" t="s">
        <v>22</v>
      </c>
      <c r="D44" s="5" t="s">
        <v>69</v>
      </c>
      <c r="E44" s="6">
        <v>15933</v>
      </c>
      <c r="F44" s="6">
        <v>10546.55</v>
      </c>
    </row>
    <row r="45" spans="2:6" x14ac:dyDescent="0.35">
      <c r="B45" t="str">
        <f>CONCATENATE(Tabela13[[#This Row],[cliente_id]],Tabela13[[#This Row],[mes_ano]])</f>
        <v>H2024-12</v>
      </c>
      <c r="C45" s="5" t="s">
        <v>23</v>
      </c>
      <c r="D45" s="5" t="s">
        <v>6</v>
      </c>
      <c r="E45" s="6">
        <v>13988</v>
      </c>
      <c r="F45" s="6">
        <v>7546.88</v>
      </c>
    </row>
    <row r="46" spans="2:6" x14ac:dyDescent="0.35">
      <c r="B46" t="str">
        <f>CONCATENATE(Tabela13[[#This Row],[cliente_id]],Tabela13[[#This Row],[mes_ano]])</f>
        <v>H2025-01</v>
      </c>
      <c r="C46" s="5" t="s">
        <v>23</v>
      </c>
      <c r="D46" s="5" t="s">
        <v>66</v>
      </c>
      <c r="E46" s="6">
        <v>44154</v>
      </c>
      <c r="F46" s="6">
        <v>31626.3</v>
      </c>
    </row>
    <row r="47" spans="2:6" x14ac:dyDescent="0.35">
      <c r="B47" t="str">
        <f>CONCATENATE(Tabela13[[#This Row],[cliente_id]],Tabela13[[#This Row],[mes_ano]])</f>
        <v>H2025-02</v>
      </c>
      <c r="C47" s="5" t="s">
        <v>23</v>
      </c>
      <c r="D47" s="5" t="s">
        <v>67</v>
      </c>
      <c r="E47" s="6">
        <v>13742</v>
      </c>
      <c r="F47" s="6">
        <v>10808.71</v>
      </c>
    </row>
    <row r="48" spans="2:6" x14ac:dyDescent="0.35">
      <c r="B48" t="str">
        <f>CONCATENATE(Tabela13[[#This Row],[cliente_id]],Tabela13[[#This Row],[mes_ano]])</f>
        <v>H2025-03</v>
      </c>
      <c r="C48" s="5" t="s">
        <v>23</v>
      </c>
      <c r="D48" s="5" t="s">
        <v>88</v>
      </c>
      <c r="E48" s="6">
        <v>4330</v>
      </c>
      <c r="F48" s="6">
        <v>3126.91</v>
      </c>
    </row>
    <row r="49" spans="2:6" x14ac:dyDescent="0.35">
      <c r="B49" t="str">
        <f>CONCATENATE(Tabela13[[#This Row],[cliente_id]],Tabela13[[#This Row],[mes_ano]])</f>
        <v>H2025-04</v>
      </c>
      <c r="C49" s="5" t="s">
        <v>23</v>
      </c>
      <c r="D49" s="5" t="s">
        <v>68</v>
      </c>
      <c r="E49" s="6">
        <v>3283</v>
      </c>
      <c r="F49" s="6">
        <v>2182.11</v>
      </c>
    </row>
    <row r="50" spans="2:6" x14ac:dyDescent="0.35">
      <c r="B50" t="str">
        <f>CONCATENATE(Tabela13[[#This Row],[cliente_id]],Tabela13[[#This Row],[mes_ano]])</f>
        <v>H2025-05</v>
      </c>
      <c r="C50" s="5" t="s">
        <v>23</v>
      </c>
      <c r="D50" s="5" t="s">
        <v>69</v>
      </c>
      <c r="E50" s="6">
        <v>2099</v>
      </c>
      <c r="F50" s="6">
        <v>1159.3800000000001</v>
      </c>
    </row>
    <row r="51" spans="2:6" x14ac:dyDescent="0.35">
      <c r="B51" t="str">
        <f>CONCATENATE(Tabela13[[#This Row],[cliente_id]],Tabela13[[#This Row],[mes_ano]])</f>
        <v>I2024-12</v>
      </c>
      <c r="C51" s="5" t="s">
        <v>24</v>
      </c>
      <c r="D51" s="5" t="s">
        <v>6</v>
      </c>
      <c r="E51" s="6">
        <v>35899</v>
      </c>
      <c r="F51" s="6">
        <v>27541.15</v>
      </c>
    </row>
    <row r="52" spans="2:6" x14ac:dyDescent="0.35">
      <c r="B52" t="str">
        <f>CONCATENATE(Tabela13[[#This Row],[cliente_id]],Tabela13[[#This Row],[mes_ano]])</f>
        <v>I2025-01</v>
      </c>
      <c r="C52" s="5" t="s">
        <v>24</v>
      </c>
      <c r="D52" s="5" t="s">
        <v>66</v>
      </c>
      <c r="E52" s="6">
        <v>11979</v>
      </c>
      <c r="F52" s="6">
        <v>8368.92</v>
      </c>
    </row>
    <row r="53" spans="2:6" x14ac:dyDescent="0.35">
      <c r="B53" t="str">
        <f>CONCATENATE(Tabela13[[#This Row],[cliente_id]],Tabela13[[#This Row],[mes_ano]])</f>
        <v>I2025-02</v>
      </c>
      <c r="C53" s="5" t="s">
        <v>24</v>
      </c>
      <c r="D53" s="5" t="s">
        <v>67</v>
      </c>
      <c r="E53" s="6">
        <v>30856</v>
      </c>
      <c r="F53" s="6">
        <v>17932.580000000002</v>
      </c>
    </row>
    <row r="54" spans="2:6" x14ac:dyDescent="0.35">
      <c r="B54" t="str">
        <f>CONCATENATE(Tabela13[[#This Row],[cliente_id]],Tabela13[[#This Row],[mes_ano]])</f>
        <v>I2025-03</v>
      </c>
      <c r="C54" s="5" t="s">
        <v>24</v>
      </c>
      <c r="D54" s="5" t="s">
        <v>88</v>
      </c>
      <c r="E54" s="6">
        <v>12397</v>
      </c>
      <c r="F54" s="6">
        <v>6975.21</v>
      </c>
    </row>
    <row r="55" spans="2:6" x14ac:dyDescent="0.35">
      <c r="B55" t="str">
        <f>CONCATENATE(Tabela13[[#This Row],[cliente_id]],Tabela13[[#This Row],[mes_ano]])</f>
        <v>I2025-04</v>
      </c>
      <c r="C55" s="5" t="s">
        <v>24</v>
      </c>
      <c r="D55" s="5" t="s">
        <v>68</v>
      </c>
      <c r="E55" s="6">
        <v>35361</v>
      </c>
      <c r="F55" s="6">
        <v>22507.87</v>
      </c>
    </row>
    <row r="56" spans="2:6" x14ac:dyDescent="0.35">
      <c r="B56" t="str">
        <f>CONCATENATE(Tabela13[[#This Row],[cliente_id]],Tabela13[[#This Row],[mes_ano]])</f>
        <v>I2025-05</v>
      </c>
      <c r="C56" s="5" t="s">
        <v>24</v>
      </c>
      <c r="D56" s="5" t="s">
        <v>69</v>
      </c>
      <c r="E56" s="6">
        <v>13005</v>
      </c>
      <c r="F56" s="6">
        <v>10246.040000000001</v>
      </c>
    </row>
    <row r="57" spans="2:6" x14ac:dyDescent="0.35">
      <c r="B57" t="str">
        <f>CONCATENATE(Tabela13[[#This Row],[cliente_id]],Tabela13[[#This Row],[mes_ano]])</f>
        <v>J2024-12</v>
      </c>
      <c r="C57" s="5" t="s">
        <v>25</v>
      </c>
      <c r="D57" s="5" t="s">
        <v>6</v>
      </c>
      <c r="E57" s="6">
        <v>19081</v>
      </c>
      <c r="F57" s="6">
        <v>14472.79</v>
      </c>
    </row>
    <row r="58" spans="2:6" x14ac:dyDescent="0.35">
      <c r="B58" t="str">
        <f>CONCATENATE(Tabela13[[#This Row],[cliente_id]],Tabela13[[#This Row],[mes_ano]])</f>
        <v>J2025-01</v>
      </c>
      <c r="C58" s="5" t="s">
        <v>25</v>
      </c>
      <c r="D58" s="5" t="s">
        <v>66</v>
      </c>
      <c r="E58" s="6">
        <v>7388</v>
      </c>
      <c r="F58" s="6">
        <v>4351.05</v>
      </c>
    </row>
    <row r="59" spans="2:6" x14ac:dyDescent="0.35">
      <c r="B59" t="str">
        <f>CONCATENATE(Tabela13[[#This Row],[cliente_id]],Tabela13[[#This Row],[mes_ano]])</f>
        <v>J2025-02</v>
      </c>
      <c r="C59" s="5" t="s">
        <v>25</v>
      </c>
      <c r="D59" s="5" t="s">
        <v>67</v>
      </c>
      <c r="E59" s="6">
        <v>25506</v>
      </c>
      <c r="F59" s="6">
        <v>19246.84</v>
      </c>
    </row>
    <row r="60" spans="2:6" x14ac:dyDescent="0.35">
      <c r="B60" t="str">
        <f>CONCATENATE(Tabela13[[#This Row],[cliente_id]],Tabela13[[#This Row],[mes_ano]])</f>
        <v>J2025-03</v>
      </c>
      <c r="C60" s="5" t="s">
        <v>25</v>
      </c>
      <c r="D60" s="5" t="s">
        <v>88</v>
      </c>
      <c r="E60" s="6">
        <v>10008</v>
      </c>
      <c r="F60" s="6">
        <v>5245.33</v>
      </c>
    </row>
    <row r="61" spans="2:6" x14ac:dyDescent="0.35">
      <c r="B61" t="str">
        <f>CONCATENATE(Tabela13[[#This Row],[cliente_id]],Tabela13[[#This Row],[mes_ano]])</f>
        <v>J2025-04</v>
      </c>
      <c r="C61" s="5" t="s">
        <v>25</v>
      </c>
      <c r="D61" s="5" t="s">
        <v>68</v>
      </c>
      <c r="E61" s="6">
        <v>48075</v>
      </c>
      <c r="F61" s="6">
        <v>30490.73</v>
      </c>
    </row>
    <row r="62" spans="2:6" x14ac:dyDescent="0.35">
      <c r="B62" t="str">
        <f>CONCATENATE(Tabela13[[#This Row],[cliente_id]],Tabela13[[#This Row],[mes_ano]])</f>
        <v>J2025-05</v>
      </c>
      <c r="C62" s="5" t="s">
        <v>25</v>
      </c>
      <c r="D62" s="5" t="s">
        <v>69</v>
      </c>
      <c r="E62" s="6">
        <v>9701</v>
      </c>
      <c r="F62" s="6">
        <v>6040.23</v>
      </c>
    </row>
    <row r="63" spans="2:6" x14ac:dyDescent="0.35">
      <c r="B63" t="str">
        <f>CONCATENATE(Tabela13[[#This Row],[cliente_id]],Tabela13[[#This Row],[mes_ano]])</f>
        <v>K2024-12</v>
      </c>
      <c r="C63" s="5" t="s">
        <v>26</v>
      </c>
      <c r="D63" s="5" t="s">
        <v>6</v>
      </c>
      <c r="E63" s="6">
        <v>46897</v>
      </c>
      <c r="F63" s="6">
        <v>27429.360000000001</v>
      </c>
    </row>
    <row r="64" spans="2:6" x14ac:dyDescent="0.35">
      <c r="B64" t="str">
        <f>CONCATENATE(Tabela13[[#This Row],[cliente_id]],Tabela13[[#This Row],[mes_ano]])</f>
        <v>K2025-01</v>
      </c>
      <c r="C64" s="5" t="s">
        <v>26</v>
      </c>
      <c r="D64" s="5" t="s">
        <v>66</v>
      </c>
      <c r="E64" s="6">
        <v>47608</v>
      </c>
      <c r="F64" s="6">
        <v>32658.15</v>
      </c>
    </row>
    <row r="65" spans="2:6" x14ac:dyDescent="0.35">
      <c r="B65" t="str">
        <f>CONCATENATE(Tabela13[[#This Row],[cliente_id]],Tabela13[[#This Row],[mes_ano]])</f>
        <v>K2025-02</v>
      </c>
      <c r="C65" s="5" t="s">
        <v>26</v>
      </c>
      <c r="D65" s="5" t="s">
        <v>67</v>
      </c>
      <c r="E65" s="6">
        <v>40680</v>
      </c>
      <c r="F65" s="6">
        <v>27671.35</v>
      </c>
    </row>
    <row r="66" spans="2:6" x14ac:dyDescent="0.35">
      <c r="B66" t="str">
        <f>CONCATENATE(Tabela13[[#This Row],[cliente_id]],Tabela13[[#This Row],[mes_ano]])</f>
        <v>K2025-03</v>
      </c>
      <c r="C66" s="5" t="s">
        <v>26</v>
      </c>
      <c r="D66" s="5" t="s">
        <v>88</v>
      </c>
      <c r="E66" s="6">
        <v>32521</v>
      </c>
      <c r="F66" s="6">
        <v>25280.02</v>
      </c>
    </row>
    <row r="67" spans="2:6" x14ac:dyDescent="0.35">
      <c r="B67" t="str">
        <f>CONCATENATE(Tabela13[[#This Row],[cliente_id]],Tabela13[[#This Row],[mes_ano]])</f>
        <v>K2025-04</v>
      </c>
      <c r="C67" s="5" t="s">
        <v>26</v>
      </c>
      <c r="D67" s="5" t="s">
        <v>68</v>
      </c>
      <c r="E67" s="6">
        <v>12557</v>
      </c>
      <c r="F67" s="6">
        <v>9886.14</v>
      </c>
    </row>
    <row r="68" spans="2:6" x14ac:dyDescent="0.35">
      <c r="B68" t="str">
        <f>CONCATENATE(Tabela13[[#This Row],[cliente_id]],Tabela13[[#This Row],[mes_ano]])</f>
        <v>K2025-05</v>
      </c>
      <c r="C68" s="5" t="s">
        <v>26</v>
      </c>
      <c r="D68" s="5" t="s">
        <v>69</v>
      </c>
      <c r="E68" s="6">
        <v>7527</v>
      </c>
      <c r="F68" s="6">
        <v>4386.0200000000004</v>
      </c>
    </row>
    <row r="69" spans="2:6" x14ac:dyDescent="0.35">
      <c r="B69" t="str">
        <f>CONCATENATE(Tabela13[[#This Row],[cliente_id]],Tabela13[[#This Row],[mes_ano]])</f>
        <v>L2024-12</v>
      </c>
      <c r="C69" s="5" t="s">
        <v>27</v>
      </c>
      <c r="D69" s="5" t="s">
        <v>6</v>
      </c>
      <c r="E69" s="6">
        <v>36806</v>
      </c>
      <c r="F69" s="6">
        <v>21473.11</v>
      </c>
    </row>
    <row r="70" spans="2:6" x14ac:dyDescent="0.35">
      <c r="B70" t="str">
        <f>CONCATENATE(Tabela13[[#This Row],[cliente_id]],Tabela13[[#This Row],[mes_ano]])</f>
        <v>L2025-01</v>
      </c>
      <c r="C70" s="5" t="s">
        <v>27</v>
      </c>
      <c r="D70" s="5" t="s">
        <v>66</v>
      </c>
      <c r="E70" s="6">
        <v>21716</v>
      </c>
      <c r="F70" s="6">
        <v>12776.22</v>
      </c>
    </row>
    <row r="71" spans="2:6" x14ac:dyDescent="0.35">
      <c r="B71" t="str">
        <f>CONCATENATE(Tabela13[[#This Row],[cliente_id]],Tabela13[[#This Row],[mes_ano]])</f>
        <v>L2025-02</v>
      </c>
      <c r="C71" s="5" t="s">
        <v>27</v>
      </c>
      <c r="D71" s="5" t="s">
        <v>67</v>
      </c>
      <c r="E71" s="6">
        <v>20446</v>
      </c>
      <c r="F71" s="6">
        <v>11448.38</v>
      </c>
    </row>
    <row r="72" spans="2:6" x14ac:dyDescent="0.35">
      <c r="B72" t="str">
        <f>CONCATENATE(Tabela13[[#This Row],[cliente_id]],Tabela13[[#This Row],[mes_ano]])</f>
        <v>L2025-03</v>
      </c>
      <c r="C72" s="5" t="s">
        <v>27</v>
      </c>
      <c r="D72" s="5" t="s">
        <v>88</v>
      </c>
      <c r="E72" s="6">
        <v>23460</v>
      </c>
      <c r="F72" s="6">
        <v>17324.41</v>
      </c>
    </row>
    <row r="73" spans="2:6" x14ac:dyDescent="0.35">
      <c r="B73" t="str">
        <f>CONCATENATE(Tabela13[[#This Row],[cliente_id]],Tabela13[[#This Row],[mes_ano]])</f>
        <v>L2025-04</v>
      </c>
      <c r="C73" s="5" t="s">
        <v>27</v>
      </c>
      <c r="D73" s="5" t="s">
        <v>68</v>
      </c>
      <c r="E73" s="6">
        <v>23755</v>
      </c>
      <c r="F73" s="6">
        <v>15754.91</v>
      </c>
    </row>
    <row r="74" spans="2:6" x14ac:dyDescent="0.35">
      <c r="B74" t="str">
        <f>CONCATENATE(Tabela13[[#This Row],[cliente_id]],Tabela13[[#This Row],[mes_ano]])</f>
        <v>L2025-05</v>
      </c>
      <c r="C74" s="5" t="s">
        <v>27</v>
      </c>
      <c r="D74" s="5" t="s">
        <v>69</v>
      </c>
      <c r="E74" s="6">
        <v>47467</v>
      </c>
      <c r="F74" s="6">
        <v>36284.089999999997</v>
      </c>
    </row>
    <row r="75" spans="2:6" x14ac:dyDescent="0.35">
      <c r="B75" t="str">
        <f>CONCATENATE(Tabela13[[#This Row],[cliente_id]],Tabela13[[#This Row],[mes_ano]])</f>
        <v>M2024-12</v>
      </c>
      <c r="C75" s="5" t="s">
        <v>28</v>
      </c>
      <c r="D75" s="5" t="s">
        <v>6</v>
      </c>
      <c r="E75" s="6">
        <v>18899</v>
      </c>
      <c r="F75" s="6">
        <v>10332.93</v>
      </c>
    </row>
    <row r="76" spans="2:6" x14ac:dyDescent="0.35">
      <c r="B76" t="str">
        <f>CONCATENATE(Tabela13[[#This Row],[cliente_id]],Tabela13[[#This Row],[mes_ano]])</f>
        <v>M2025-01</v>
      </c>
      <c r="C76" s="5" t="s">
        <v>28</v>
      </c>
      <c r="D76" s="5" t="s">
        <v>66</v>
      </c>
      <c r="E76" s="6">
        <v>9629</v>
      </c>
      <c r="F76" s="6">
        <v>7664.88</v>
      </c>
    </row>
    <row r="77" spans="2:6" x14ac:dyDescent="0.35">
      <c r="B77" t="str">
        <f>CONCATENATE(Tabela13[[#This Row],[cliente_id]],Tabela13[[#This Row],[mes_ano]])</f>
        <v>M2025-02</v>
      </c>
      <c r="C77" s="5" t="s">
        <v>28</v>
      </c>
      <c r="D77" s="5" t="s">
        <v>67</v>
      </c>
      <c r="E77" s="6">
        <v>9867</v>
      </c>
      <c r="F77" s="6">
        <v>5296.05</v>
      </c>
    </row>
    <row r="78" spans="2:6" x14ac:dyDescent="0.35">
      <c r="B78" t="str">
        <f>CONCATENATE(Tabela13[[#This Row],[cliente_id]],Tabela13[[#This Row],[mes_ano]])</f>
        <v>M2025-03</v>
      </c>
      <c r="C78" s="5" t="s">
        <v>28</v>
      </c>
      <c r="D78" s="5" t="s">
        <v>88</v>
      </c>
      <c r="E78" s="6">
        <v>26670</v>
      </c>
      <c r="F78" s="6">
        <v>20567.97</v>
      </c>
    </row>
    <row r="79" spans="2:6" x14ac:dyDescent="0.35">
      <c r="B79" t="str">
        <f>CONCATENATE(Tabela13[[#This Row],[cliente_id]],Tabela13[[#This Row],[mes_ano]])</f>
        <v>M2025-04</v>
      </c>
      <c r="C79" s="5" t="s">
        <v>28</v>
      </c>
      <c r="D79" s="5" t="s">
        <v>68</v>
      </c>
      <c r="E79" s="6">
        <v>38849</v>
      </c>
      <c r="F79" s="6">
        <v>24675.66</v>
      </c>
    </row>
    <row r="80" spans="2:6" x14ac:dyDescent="0.35">
      <c r="B80" t="str">
        <f>CONCATENATE(Tabela13[[#This Row],[cliente_id]],Tabela13[[#This Row],[mes_ano]])</f>
        <v>M2025-05</v>
      </c>
      <c r="C80" s="5" t="s">
        <v>28</v>
      </c>
      <c r="D80" s="5" t="s">
        <v>69</v>
      </c>
      <c r="E80" s="6">
        <v>19165</v>
      </c>
      <c r="F80" s="6">
        <v>12147.41</v>
      </c>
    </row>
    <row r="81" spans="2:6" x14ac:dyDescent="0.35">
      <c r="B81" t="str">
        <f>CONCATENATE(Tabela13[[#This Row],[cliente_id]],Tabela13[[#This Row],[mes_ano]])</f>
        <v>N2024-12</v>
      </c>
      <c r="C81" s="5" t="s">
        <v>29</v>
      </c>
      <c r="D81" s="5" t="s">
        <v>6</v>
      </c>
      <c r="E81" s="6">
        <v>24247</v>
      </c>
      <c r="F81" s="6">
        <v>12695.52</v>
      </c>
    </row>
    <row r="82" spans="2:6" x14ac:dyDescent="0.35">
      <c r="B82" t="str">
        <f>CONCATENATE(Tabela13[[#This Row],[cliente_id]],Tabela13[[#This Row],[mes_ano]])</f>
        <v>N2025-01</v>
      </c>
      <c r="C82" s="5" t="s">
        <v>29</v>
      </c>
      <c r="D82" s="5" t="s">
        <v>66</v>
      </c>
      <c r="E82" s="6">
        <v>36928</v>
      </c>
      <c r="F82" s="6">
        <v>20397.37</v>
      </c>
    </row>
    <row r="83" spans="2:6" x14ac:dyDescent="0.35">
      <c r="B83" t="str">
        <f>CONCATENATE(Tabela13[[#This Row],[cliente_id]],Tabela13[[#This Row],[mes_ano]])</f>
        <v>N2025-02</v>
      </c>
      <c r="C83" s="5" t="s">
        <v>29</v>
      </c>
      <c r="D83" s="5" t="s">
        <v>67</v>
      </c>
      <c r="E83" s="6">
        <v>9259</v>
      </c>
      <c r="F83" s="6">
        <v>6297.21</v>
      </c>
    </row>
    <row r="84" spans="2:6" x14ac:dyDescent="0.35">
      <c r="B84" t="str">
        <f>CONCATENATE(Tabela13[[#This Row],[cliente_id]],Tabela13[[#This Row],[mes_ano]])</f>
        <v>N2025-03</v>
      </c>
      <c r="C84" s="5" t="s">
        <v>29</v>
      </c>
      <c r="D84" s="5" t="s">
        <v>88</v>
      </c>
      <c r="E84" s="6">
        <v>44919</v>
      </c>
      <c r="F84" s="6">
        <v>25245.84</v>
      </c>
    </row>
    <row r="85" spans="2:6" x14ac:dyDescent="0.35">
      <c r="B85" t="str">
        <f>CONCATENATE(Tabela13[[#This Row],[cliente_id]],Tabela13[[#This Row],[mes_ano]])</f>
        <v>N2025-04</v>
      </c>
      <c r="C85" s="5" t="s">
        <v>29</v>
      </c>
      <c r="D85" s="5" t="s">
        <v>68</v>
      </c>
      <c r="E85" s="6">
        <v>48838</v>
      </c>
      <c r="F85" s="6">
        <v>27511.29</v>
      </c>
    </row>
    <row r="86" spans="2:6" x14ac:dyDescent="0.35">
      <c r="B86" t="str">
        <f>CONCATENATE(Tabela13[[#This Row],[cliente_id]],Tabela13[[#This Row],[mes_ano]])</f>
        <v>N2025-05</v>
      </c>
      <c r="C86" s="5" t="s">
        <v>29</v>
      </c>
      <c r="D86" s="5" t="s">
        <v>69</v>
      </c>
      <c r="E86" s="6">
        <v>20203</v>
      </c>
      <c r="F86" s="6">
        <v>14594.09</v>
      </c>
    </row>
    <row r="87" spans="2:6" x14ac:dyDescent="0.35">
      <c r="B87" t="str">
        <f>CONCATENATE(Tabela13[[#This Row],[cliente_id]],Tabela13[[#This Row],[mes_ano]])</f>
        <v>O2024-12</v>
      </c>
      <c r="C87" s="5" t="s">
        <v>30</v>
      </c>
      <c r="D87" s="5" t="s">
        <v>6</v>
      </c>
      <c r="E87" s="6">
        <v>25062</v>
      </c>
      <c r="F87" s="6">
        <v>18422.669999999998</v>
      </c>
    </row>
    <row r="88" spans="2:6" x14ac:dyDescent="0.35">
      <c r="B88" t="str">
        <f>CONCATENATE(Tabela13[[#This Row],[cliente_id]],Tabela13[[#This Row],[mes_ano]])</f>
        <v>O2025-01</v>
      </c>
      <c r="C88" s="5" t="s">
        <v>30</v>
      </c>
      <c r="D88" s="5" t="s">
        <v>66</v>
      </c>
      <c r="E88" s="6">
        <v>34086</v>
      </c>
      <c r="F88" s="6">
        <v>24226.6</v>
      </c>
    </row>
    <row r="89" spans="2:6" x14ac:dyDescent="0.35">
      <c r="B89" t="str">
        <f>CONCATENATE(Tabela13[[#This Row],[cliente_id]],Tabela13[[#This Row],[mes_ano]])</f>
        <v>O2025-02</v>
      </c>
      <c r="C89" s="5" t="s">
        <v>30</v>
      </c>
      <c r="D89" s="5" t="s">
        <v>67</v>
      </c>
      <c r="E89" s="6">
        <v>9723</v>
      </c>
      <c r="F89" s="6">
        <v>4931.96</v>
      </c>
    </row>
    <row r="90" spans="2:6" x14ac:dyDescent="0.35">
      <c r="B90" t="str">
        <f>CONCATENATE(Tabela13[[#This Row],[cliente_id]],Tabela13[[#This Row],[mes_ano]])</f>
        <v>O2025-03</v>
      </c>
      <c r="C90" s="5" t="s">
        <v>30</v>
      </c>
      <c r="D90" s="5" t="s">
        <v>88</v>
      </c>
      <c r="E90" s="6">
        <v>8243</v>
      </c>
      <c r="F90" s="6">
        <v>5472.34</v>
      </c>
    </row>
    <row r="91" spans="2:6" x14ac:dyDescent="0.35">
      <c r="B91" t="str">
        <f>CONCATENATE(Tabela13[[#This Row],[cliente_id]],Tabela13[[#This Row],[mes_ano]])</f>
        <v>O2025-04</v>
      </c>
      <c r="C91" s="5" t="s">
        <v>30</v>
      </c>
      <c r="D91" s="5" t="s">
        <v>68</v>
      </c>
      <c r="E91" s="6">
        <v>45403</v>
      </c>
      <c r="F91" s="6">
        <v>35689.410000000003</v>
      </c>
    </row>
    <row r="92" spans="2:6" x14ac:dyDescent="0.35">
      <c r="B92" t="str">
        <f>CONCATENATE(Tabela13[[#This Row],[cliente_id]],Tabela13[[#This Row],[mes_ano]])</f>
        <v>O2025-05</v>
      </c>
      <c r="C92" s="5" t="s">
        <v>30</v>
      </c>
      <c r="D92" s="5" t="s">
        <v>69</v>
      </c>
      <c r="E92" s="6">
        <v>40794</v>
      </c>
      <c r="F92" s="6">
        <v>25915.31</v>
      </c>
    </row>
    <row r="93" spans="2:6" x14ac:dyDescent="0.35">
      <c r="B93" t="str">
        <f>CONCATENATE(Tabela13[[#This Row],[cliente_id]],Tabela13[[#This Row],[mes_ano]])</f>
        <v>P2024-12</v>
      </c>
      <c r="C93" s="5" t="s">
        <v>31</v>
      </c>
      <c r="D93" s="5" t="s">
        <v>6</v>
      </c>
      <c r="E93" s="6">
        <v>26265</v>
      </c>
      <c r="F93" s="6">
        <v>17618.830000000002</v>
      </c>
    </row>
    <row r="94" spans="2:6" x14ac:dyDescent="0.35">
      <c r="B94" t="str">
        <f>CONCATENATE(Tabela13[[#This Row],[cliente_id]],Tabela13[[#This Row],[mes_ano]])</f>
        <v>P2025-01</v>
      </c>
      <c r="C94" s="5" t="s">
        <v>31</v>
      </c>
      <c r="D94" s="5" t="s">
        <v>66</v>
      </c>
      <c r="E94" s="6">
        <v>34662</v>
      </c>
      <c r="F94" s="6">
        <v>22451.99</v>
      </c>
    </row>
    <row r="95" spans="2:6" x14ac:dyDescent="0.35">
      <c r="B95" t="str">
        <f>CONCATENATE(Tabela13[[#This Row],[cliente_id]],Tabela13[[#This Row],[mes_ano]])</f>
        <v>P2025-02</v>
      </c>
      <c r="C95" s="5" t="s">
        <v>31</v>
      </c>
      <c r="D95" s="5" t="s">
        <v>67</v>
      </c>
      <c r="E95" s="6">
        <v>45834</v>
      </c>
      <c r="F95" s="6">
        <v>25153.94</v>
      </c>
    </row>
    <row r="96" spans="2:6" x14ac:dyDescent="0.35">
      <c r="B96" t="str">
        <f>CONCATENATE(Tabela13[[#This Row],[cliente_id]],Tabela13[[#This Row],[mes_ano]])</f>
        <v>P2025-03</v>
      </c>
      <c r="C96" s="5" t="s">
        <v>31</v>
      </c>
      <c r="D96" s="5" t="s">
        <v>88</v>
      </c>
      <c r="E96" s="6">
        <v>17384</v>
      </c>
      <c r="F96" s="6">
        <v>12393.51</v>
      </c>
    </row>
    <row r="97" spans="2:6" x14ac:dyDescent="0.35">
      <c r="B97" t="str">
        <f>CONCATENATE(Tabela13[[#This Row],[cliente_id]],Tabela13[[#This Row],[mes_ano]])</f>
        <v>P2025-04</v>
      </c>
      <c r="C97" s="5" t="s">
        <v>31</v>
      </c>
      <c r="D97" s="5" t="s">
        <v>68</v>
      </c>
      <c r="E97" s="6">
        <v>5030</v>
      </c>
      <c r="F97" s="6">
        <v>3869.63</v>
      </c>
    </row>
    <row r="98" spans="2:6" x14ac:dyDescent="0.35">
      <c r="B98" t="str">
        <f>CONCATENATE(Tabela13[[#This Row],[cliente_id]],Tabela13[[#This Row],[mes_ano]])</f>
        <v>P2025-05</v>
      </c>
      <c r="C98" s="5" t="s">
        <v>31</v>
      </c>
      <c r="D98" s="5" t="s">
        <v>69</v>
      </c>
      <c r="E98" s="6">
        <v>8067</v>
      </c>
      <c r="F98" s="6">
        <v>4816.6000000000004</v>
      </c>
    </row>
    <row r="99" spans="2:6" x14ac:dyDescent="0.35">
      <c r="B99" t="str">
        <f>CONCATENATE(Tabela13[[#This Row],[cliente_id]],Tabela13[[#This Row],[mes_ano]])</f>
        <v>Q2024-12</v>
      </c>
      <c r="C99" s="5" t="s">
        <v>32</v>
      </c>
      <c r="D99" s="5" t="s">
        <v>6</v>
      </c>
      <c r="E99" s="6">
        <v>20995</v>
      </c>
      <c r="F99" s="6">
        <v>10771.82</v>
      </c>
    </row>
    <row r="100" spans="2:6" x14ac:dyDescent="0.35">
      <c r="B100" t="str">
        <f>CONCATENATE(Tabela13[[#This Row],[cliente_id]],Tabela13[[#This Row],[mes_ano]])</f>
        <v>Q2025-01</v>
      </c>
      <c r="C100" s="5" t="s">
        <v>32</v>
      </c>
      <c r="D100" s="5" t="s">
        <v>66</v>
      </c>
      <c r="E100" s="6">
        <v>20013</v>
      </c>
      <c r="F100" s="6">
        <v>10287.68</v>
      </c>
    </row>
    <row r="101" spans="2:6" x14ac:dyDescent="0.35">
      <c r="B101" t="str">
        <f>CONCATENATE(Tabela13[[#This Row],[cliente_id]],Tabela13[[#This Row],[mes_ano]])</f>
        <v>Q2025-02</v>
      </c>
      <c r="C101" s="5" t="s">
        <v>32</v>
      </c>
      <c r="D101" s="5" t="s">
        <v>67</v>
      </c>
      <c r="E101" s="6">
        <v>6886</v>
      </c>
      <c r="F101" s="6">
        <v>4752.08</v>
      </c>
    </row>
    <row r="102" spans="2:6" x14ac:dyDescent="0.35">
      <c r="B102" t="str">
        <f>CONCATENATE(Tabela13[[#This Row],[cliente_id]],Tabela13[[#This Row],[mes_ano]])</f>
        <v>Q2025-03</v>
      </c>
      <c r="C102" s="5" t="s">
        <v>32</v>
      </c>
      <c r="D102" s="5" t="s">
        <v>88</v>
      </c>
      <c r="E102" s="6">
        <v>9075</v>
      </c>
      <c r="F102" s="6">
        <v>5930.96</v>
      </c>
    </row>
    <row r="103" spans="2:6" x14ac:dyDescent="0.35">
      <c r="B103" t="str">
        <f>CONCATENATE(Tabela13[[#This Row],[cliente_id]],Tabela13[[#This Row],[mes_ano]])</f>
        <v>Q2025-04</v>
      </c>
      <c r="C103" s="5" t="s">
        <v>32</v>
      </c>
      <c r="D103" s="5" t="s">
        <v>68</v>
      </c>
      <c r="E103" s="6">
        <v>48175</v>
      </c>
      <c r="F103" s="6">
        <v>29853.8</v>
      </c>
    </row>
    <row r="104" spans="2:6" x14ac:dyDescent="0.35">
      <c r="B104" t="str">
        <f>CONCATENATE(Tabela13[[#This Row],[cliente_id]],Tabela13[[#This Row],[mes_ano]])</f>
        <v>Q2025-05</v>
      </c>
      <c r="C104" s="5" t="s">
        <v>32</v>
      </c>
      <c r="D104" s="5" t="s">
        <v>69</v>
      </c>
      <c r="E104" s="6">
        <v>16414</v>
      </c>
      <c r="F104" s="6">
        <v>9320.2800000000007</v>
      </c>
    </row>
    <row r="105" spans="2:6" x14ac:dyDescent="0.35">
      <c r="B105" t="str">
        <f>CONCATENATE(Tabela13[[#This Row],[cliente_id]],Tabela13[[#This Row],[mes_ano]])</f>
        <v>R2024-12</v>
      </c>
      <c r="C105" s="5" t="s">
        <v>33</v>
      </c>
      <c r="D105" s="5" t="s">
        <v>6</v>
      </c>
      <c r="E105" s="6">
        <v>27340</v>
      </c>
      <c r="F105" s="6">
        <v>20171.79</v>
      </c>
    </row>
    <row r="106" spans="2:6" x14ac:dyDescent="0.35">
      <c r="B106" t="str">
        <f>CONCATENATE(Tabela13[[#This Row],[cliente_id]],Tabela13[[#This Row],[mes_ano]])</f>
        <v>R2025-01</v>
      </c>
      <c r="C106" s="5" t="s">
        <v>33</v>
      </c>
      <c r="D106" s="5" t="s">
        <v>66</v>
      </c>
      <c r="E106" s="6">
        <v>4440</v>
      </c>
      <c r="F106" s="6">
        <v>2998.63</v>
      </c>
    </row>
    <row r="107" spans="2:6" x14ac:dyDescent="0.35">
      <c r="B107" t="str">
        <f>CONCATENATE(Tabela13[[#This Row],[cliente_id]],Tabela13[[#This Row],[mes_ano]])</f>
        <v>R2025-02</v>
      </c>
      <c r="C107" s="5" t="s">
        <v>33</v>
      </c>
      <c r="D107" s="5" t="s">
        <v>67</v>
      </c>
      <c r="E107" s="6">
        <v>19562</v>
      </c>
      <c r="F107" s="6">
        <v>13386.39</v>
      </c>
    </row>
    <row r="108" spans="2:6" x14ac:dyDescent="0.35">
      <c r="B108" t="str">
        <f>CONCATENATE(Tabela13[[#This Row],[cliente_id]],Tabela13[[#This Row],[mes_ano]])</f>
        <v>R2025-03</v>
      </c>
      <c r="C108" s="5" t="s">
        <v>33</v>
      </c>
      <c r="D108" s="5" t="s">
        <v>88</v>
      </c>
      <c r="E108" s="6">
        <v>28803</v>
      </c>
      <c r="F108" s="6">
        <v>19236.2</v>
      </c>
    </row>
    <row r="109" spans="2:6" x14ac:dyDescent="0.35">
      <c r="B109" t="str">
        <f>CONCATENATE(Tabela13[[#This Row],[cliente_id]],Tabela13[[#This Row],[mes_ano]])</f>
        <v>R2025-04</v>
      </c>
      <c r="C109" s="5" t="s">
        <v>33</v>
      </c>
      <c r="D109" s="5" t="s">
        <v>68</v>
      </c>
      <c r="E109" s="6">
        <v>4109</v>
      </c>
      <c r="F109" s="6">
        <v>2744.43</v>
      </c>
    </row>
    <row r="110" spans="2:6" x14ac:dyDescent="0.35">
      <c r="B110" t="str">
        <f>CONCATENATE(Tabela13[[#This Row],[cliente_id]],Tabela13[[#This Row],[mes_ano]])</f>
        <v>R2025-05</v>
      </c>
      <c r="C110" s="5" t="s">
        <v>33</v>
      </c>
      <c r="D110" s="5" t="s">
        <v>69</v>
      </c>
      <c r="E110" s="6">
        <v>31357</v>
      </c>
      <c r="F110" s="6">
        <v>16100.28</v>
      </c>
    </row>
    <row r="111" spans="2:6" x14ac:dyDescent="0.35">
      <c r="B111" t="str">
        <f>CONCATENATE(Tabela13[[#This Row],[cliente_id]],Tabela13[[#This Row],[mes_ano]])</f>
        <v>S2024-12</v>
      </c>
      <c r="C111" s="5" t="s">
        <v>34</v>
      </c>
      <c r="D111" s="5" t="s">
        <v>6</v>
      </c>
      <c r="E111" s="6">
        <v>41566</v>
      </c>
      <c r="F111" s="6">
        <v>32942.39</v>
      </c>
    </row>
    <row r="112" spans="2:6" x14ac:dyDescent="0.35">
      <c r="B112" t="str">
        <f>CONCATENATE(Tabela13[[#This Row],[cliente_id]],Tabela13[[#This Row],[mes_ano]])</f>
        <v>S2025-01</v>
      </c>
      <c r="C112" s="5" t="s">
        <v>34</v>
      </c>
      <c r="D112" s="5" t="s">
        <v>66</v>
      </c>
      <c r="E112" s="6">
        <v>28545</v>
      </c>
      <c r="F112" s="6">
        <v>16020.18</v>
      </c>
    </row>
    <row r="113" spans="2:6" x14ac:dyDescent="0.35">
      <c r="B113" t="str">
        <f>CONCATENATE(Tabela13[[#This Row],[cliente_id]],Tabela13[[#This Row],[mes_ano]])</f>
        <v>S2025-02</v>
      </c>
      <c r="C113" s="5" t="s">
        <v>34</v>
      </c>
      <c r="D113" s="5" t="s">
        <v>67</v>
      </c>
      <c r="E113" s="6">
        <v>41648</v>
      </c>
      <c r="F113" s="6">
        <v>29490.26</v>
      </c>
    </row>
    <row r="114" spans="2:6" x14ac:dyDescent="0.35">
      <c r="B114" t="str">
        <f>CONCATENATE(Tabela13[[#This Row],[cliente_id]],Tabela13[[#This Row],[mes_ano]])</f>
        <v>S2025-03</v>
      </c>
      <c r="C114" s="5" t="s">
        <v>34</v>
      </c>
      <c r="D114" s="5" t="s">
        <v>88</v>
      </c>
      <c r="E114" s="6">
        <v>32796</v>
      </c>
      <c r="F114" s="6">
        <v>18084.97</v>
      </c>
    </row>
    <row r="115" spans="2:6" x14ac:dyDescent="0.35">
      <c r="B115" t="str">
        <f>CONCATENATE(Tabela13[[#This Row],[cliente_id]],Tabela13[[#This Row],[mes_ano]])</f>
        <v>S2025-04</v>
      </c>
      <c r="C115" s="5" t="s">
        <v>34</v>
      </c>
      <c r="D115" s="5" t="s">
        <v>68</v>
      </c>
      <c r="E115" s="6">
        <v>34248</v>
      </c>
      <c r="F115" s="6">
        <v>24271.84</v>
      </c>
    </row>
    <row r="116" spans="2:6" x14ac:dyDescent="0.35">
      <c r="B116" t="str">
        <f>CONCATENATE(Tabela13[[#This Row],[cliente_id]],Tabela13[[#This Row],[mes_ano]])</f>
        <v>S2025-05</v>
      </c>
      <c r="C116" s="5" t="s">
        <v>34</v>
      </c>
      <c r="D116" s="5" t="s">
        <v>69</v>
      </c>
      <c r="E116" s="6">
        <v>44925</v>
      </c>
      <c r="F116" s="6">
        <v>29388.29</v>
      </c>
    </row>
    <row r="117" spans="2:6" x14ac:dyDescent="0.35">
      <c r="B117" t="str">
        <f>CONCATENATE(Tabela13[[#This Row],[cliente_id]],Tabela13[[#This Row],[mes_ano]])</f>
        <v>T2024-12</v>
      </c>
      <c r="C117" s="5" t="s">
        <v>35</v>
      </c>
      <c r="D117" s="5" t="s">
        <v>6</v>
      </c>
      <c r="E117" s="6">
        <v>48541</v>
      </c>
      <c r="F117" s="6">
        <v>36120.78</v>
      </c>
    </row>
    <row r="118" spans="2:6" x14ac:dyDescent="0.35">
      <c r="B118" t="str">
        <f>CONCATENATE(Tabela13[[#This Row],[cliente_id]],Tabela13[[#This Row],[mes_ano]])</f>
        <v>T2025-01</v>
      </c>
      <c r="C118" s="5" t="s">
        <v>35</v>
      </c>
      <c r="D118" s="5" t="s">
        <v>66</v>
      </c>
      <c r="E118" s="6">
        <v>35551</v>
      </c>
      <c r="F118" s="6">
        <v>17828.689999999999</v>
      </c>
    </row>
    <row r="119" spans="2:6" x14ac:dyDescent="0.35">
      <c r="B119" t="str">
        <f>CONCATENATE(Tabela13[[#This Row],[cliente_id]],Tabela13[[#This Row],[mes_ano]])</f>
        <v>T2025-02</v>
      </c>
      <c r="C119" s="5" t="s">
        <v>35</v>
      </c>
      <c r="D119" s="5" t="s">
        <v>67</v>
      </c>
      <c r="E119" s="6">
        <v>17876</v>
      </c>
      <c r="F119" s="6">
        <v>9630.52</v>
      </c>
    </row>
    <row r="120" spans="2:6" x14ac:dyDescent="0.35">
      <c r="B120" t="str">
        <f>CONCATENATE(Tabela13[[#This Row],[cliente_id]],Tabela13[[#This Row],[mes_ano]])</f>
        <v>T2025-03</v>
      </c>
      <c r="C120" s="5" t="s">
        <v>35</v>
      </c>
      <c r="D120" s="5" t="s">
        <v>88</v>
      </c>
      <c r="E120" s="6">
        <v>47298</v>
      </c>
      <c r="F120" s="6">
        <v>33202.06</v>
      </c>
    </row>
    <row r="121" spans="2:6" x14ac:dyDescent="0.35">
      <c r="B121" t="str">
        <f>CONCATENATE(Tabela13[[#This Row],[cliente_id]],Tabela13[[#This Row],[mes_ano]])</f>
        <v>T2025-04</v>
      </c>
      <c r="C121" s="5" t="s">
        <v>35</v>
      </c>
      <c r="D121" s="5" t="s">
        <v>68</v>
      </c>
      <c r="E121" s="6">
        <v>35483</v>
      </c>
      <c r="F121" s="6">
        <v>21822.63</v>
      </c>
    </row>
    <row r="122" spans="2:6" x14ac:dyDescent="0.35">
      <c r="B122" t="str">
        <f>CONCATENATE(Tabela13[[#This Row],[cliente_id]],Tabela13[[#This Row],[mes_ano]])</f>
        <v>T2025-05</v>
      </c>
      <c r="C122" s="5" t="s">
        <v>35</v>
      </c>
      <c r="D122" s="5" t="s">
        <v>69</v>
      </c>
      <c r="E122" s="6">
        <v>45775</v>
      </c>
      <c r="F122" s="6">
        <v>24058.34</v>
      </c>
    </row>
    <row r="123" spans="2:6" x14ac:dyDescent="0.35">
      <c r="B123" t="str">
        <f>CONCATENATE(Tabela13[[#This Row],[cliente_id]],Tabela13[[#This Row],[mes_ano]])</f>
        <v>U2024-12</v>
      </c>
      <c r="C123" s="5" t="s">
        <v>36</v>
      </c>
      <c r="D123" s="5" t="s">
        <v>6</v>
      </c>
      <c r="E123" s="6">
        <v>41749</v>
      </c>
      <c r="F123" s="6">
        <v>22746.78</v>
      </c>
    </row>
    <row r="124" spans="2:6" x14ac:dyDescent="0.35">
      <c r="B124" t="str">
        <f>CONCATENATE(Tabela13[[#This Row],[cliente_id]],Tabela13[[#This Row],[mes_ano]])</f>
        <v>U2025-01</v>
      </c>
      <c r="C124" s="5" t="s">
        <v>36</v>
      </c>
      <c r="D124" s="5" t="s">
        <v>66</v>
      </c>
      <c r="E124" s="6">
        <v>47188</v>
      </c>
      <c r="F124" s="6">
        <v>26456.58</v>
      </c>
    </row>
    <row r="125" spans="2:6" x14ac:dyDescent="0.35">
      <c r="B125" t="str">
        <f>CONCATENATE(Tabela13[[#This Row],[cliente_id]],Tabela13[[#This Row],[mes_ano]])</f>
        <v>U2025-02</v>
      </c>
      <c r="C125" s="5" t="s">
        <v>36</v>
      </c>
      <c r="D125" s="5" t="s">
        <v>67</v>
      </c>
      <c r="E125" s="6">
        <v>6239</v>
      </c>
      <c r="F125" s="6">
        <v>3881.52</v>
      </c>
    </row>
    <row r="126" spans="2:6" x14ac:dyDescent="0.35">
      <c r="B126" t="str">
        <f>CONCATENATE(Tabela13[[#This Row],[cliente_id]],Tabela13[[#This Row],[mes_ano]])</f>
        <v>U2025-03</v>
      </c>
      <c r="C126" s="5" t="s">
        <v>36</v>
      </c>
      <c r="D126" s="5" t="s">
        <v>88</v>
      </c>
      <c r="E126" s="6">
        <v>25102</v>
      </c>
      <c r="F126" s="6">
        <v>12979.96</v>
      </c>
    </row>
    <row r="127" spans="2:6" x14ac:dyDescent="0.35">
      <c r="B127" t="str">
        <f>CONCATENATE(Tabela13[[#This Row],[cliente_id]],Tabela13[[#This Row],[mes_ano]])</f>
        <v>U2025-04</v>
      </c>
      <c r="C127" s="5" t="s">
        <v>36</v>
      </c>
      <c r="D127" s="5" t="s">
        <v>68</v>
      </c>
      <c r="E127" s="6">
        <v>47907</v>
      </c>
      <c r="F127" s="6">
        <v>26995.23</v>
      </c>
    </row>
    <row r="128" spans="2:6" x14ac:dyDescent="0.35">
      <c r="B128" t="str">
        <f>CONCATENATE(Tabela13[[#This Row],[cliente_id]],Tabela13[[#This Row],[mes_ano]])</f>
        <v>U2025-05</v>
      </c>
      <c r="C128" s="5" t="s">
        <v>36</v>
      </c>
      <c r="D128" s="5" t="s">
        <v>69</v>
      </c>
      <c r="E128" s="6">
        <v>32310</v>
      </c>
      <c r="F128" s="6">
        <v>22971.5</v>
      </c>
    </row>
    <row r="129" spans="2:6" x14ac:dyDescent="0.35">
      <c r="B129" t="str">
        <f>CONCATENATE(Tabela13[[#This Row],[cliente_id]],Tabela13[[#This Row],[mes_ano]])</f>
        <v>V2024-12</v>
      </c>
      <c r="C129" s="5" t="s">
        <v>37</v>
      </c>
      <c r="D129" s="5" t="s">
        <v>6</v>
      </c>
      <c r="E129" s="6">
        <v>20008</v>
      </c>
      <c r="F129" s="6">
        <v>14046.47</v>
      </c>
    </row>
    <row r="130" spans="2:6" x14ac:dyDescent="0.35">
      <c r="B130" t="str">
        <f>CONCATENATE(Tabela13[[#This Row],[cliente_id]],Tabela13[[#This Row],[mes_ano]])</f>
        <v>V2025-01</v>
      </c>
      <c r="C130" s="5" t="s">
        <v>37</v>
      </c>
      <c r="D130" s="5" t="s">
        <v>66</v>
      </c>
      <c r="E130" s="6">
        <v>43449</v>
      </c>
      <c r="F130" s="6">
        <v>34223.31</v>
      </c>
    </row>
    <row r="131" spans="2:6" x14ac:dyDescent="0.35">
      <c r="B131" t="str">
        <f>CONCATENATE(Tabela13[[#This Row],[cliente_id]],Tabela13[[#This Row],[mes_ano]])</f>
        <v>V2025-02</v>
      </c>
      <c r="C131" s="5" t="s">
        <v>37</v>
      </c>
      <c r="D131" s="5" t="s">
        <v>67</v>
      </c>
      <c r="E131" s="6">
        <v>31682</v>
      </c>
      <c r="F131" s="6">
        <v>18524.57</v>
      </c>
    </row>
    <row r="132" spans="2:6" x14ac:dyDescent="0.35">
      <c r="B132" t="str">
        <f>CONCATENATE(Tabela13[[#This Row],[cliente_id]],Tabela13[[#This Row],[mes_ano]])</f>
        <v>V2025-03</v>
      </c>
      <c r="C132" s="5" t="s">
        <v>37</v>
      </c>
      <c r="D132" s="5" t="s">
        <v>88</v>
      </c>
      <c r="E132" s="6">
        <v>48767</v>
      </c>
      <c r="F132" s="6">
        <v>27985.18</v>
      </c>
    </row>
    <row r="133" spans="2:6" x14ac:dyDescent="0.35">
      <c r="B133" t="str">
        <f>CONCATENATE(Tabela13[[#This Row],[cliente_id]],Tabela13[[#This Row],[mes_ano]])</f>
        <v>V2025-04</v>
      </c>
      <c r="C133" s="5" t="s">
        <v>37</v>
      </c>
      <c r="D133" s="5" t="s">
        <v>68</v>
      </c>
      <c r="E133" s="6">
        <v>37251</v>
      </c>
      <c r="F133" s="6">
        <v>24543.64</v>
      </c>
    </row>
    <row r="134" spans="2:6" x14ac:dyDescent="0.35">
      <c r="B134" t="str">
        <f>CONCATENATE(Tabela13[[#This Row],[cliente_id]],Tabela13[[#This Row],[mes_ano]])</f>
        <v>V2025-05</v>
      </c>
      <c r="C134" s="5" t="s">
        <v>37</v>
      </c>
      <c r="D134" s="5" t="s">
        <v>69</v>
      </c>
      <c r="E134" s="6">
        <v>22468</v>
      </c>
      <c r="F134" s="6">
        <v>14987.05</v>
      </c>
    </row>
    <row r="135" spans="2:6" x14ac:dyDescent="0.35">
      <c r="B135" t="str">
        <f>CONCATENATE(Tabela13[[#This Row],[cliente_id]],Tabela13[[#This Row],[mes_ano]])</f>
        <v>X2024-12</v>
      </c>
      <c r="C135" s="5" t="s">
        <v>38</v>
      </c>
      <c r="D135" s="5" t="s">
        <v>6</v>
      </c>
      <c r="E135" s="6">
        <v>46567</v>
      </c>
      <c r="F135" s="6">
        <v>29089.37</v>
      </c>
    </row>
    <row r="136" spans="2:6" x14ac:dyDescent="0.35">
      <c r="B136" t="str">
        <f>CONCATENATE(Tabela13[[#This Row],[cliente_id]],Tabela13[[#This Row],[mes_ano]])</f>
        <v>X2025-01</v>
      </c>
      <c r="C136" s="5" t="s">
        <v>38</v>
      </c>
      <c r="D136" s="5" t="s">
        <v>66</v>
      </c>
      <c r="E136" s="6">
        <v>6613</v>
      </c>
      <c r="F136" s="6">
        <v>3705.14</v>
      </c>
    </row>
    <row r="137" spans="2:6" x14ac:dyDescent="0.35">
      <c r="B137" t="str">
        <f>CONCATENATE(Tabela13[[#This Row],[cliente_id]],Tabela13[[#This Row],[mes_ano]])</f>
        <v>X2025-02</v>
      </c>
      <c r="C137" s="5" t="s">
        <v>38</v>
      </c>
      <c r="D137" s="5" t="s">
        <v>67</v>
      </c>
      <c r="E137" s="6">
        <v>46185</v>
      </c>
      <c r="F137" s="6">
        <v>36169.870000000003</v>
      </c>
    </row>
    <row r="138" spans="2:6" x14ac:dyDescent="0.35">
      <c r="B138" t="str">
        <f>CONCATENATE(Tabela13[[#This Row],[cliente_id]],Tabela13[[#This Row],[mes_ano]])</f>
        <v>X2025-03</v>
      </c>
      <c r="C138" s="5" t="s">
        <v>38</v>
      </c>
      <c r="D138" s="5" t="s">
        <v>88</v>
      </c>
      <c r="E138" s="6">
        <v>13135</v>
      </c>
      <c r="F138" s="6">
        <v>8305.43</v>
      </c>
    </row>
    <row r="139" spans="2:6" x14ac:dyDescent="0.35">
      <c r="B139" t="str">
        <f>CONCATENATE(Tabela13[[#This Row],[cliente_id]],Tabela13[[#This Row],[mes_ano]])</f>
        <v>X2025-04</v>
      </c>
      <c r="C139" s="5" t="s">
        <v>38</v>
      </c>
      <c r="D139" s="5" t="s">
        <v>68</v>
      </c>
      <c r="E139" s="6">
        <v>24902</v>
      </c>
      <c r="F139" s="6">
        <v>18556.7</v>
      </c>
    </row>
    <row r="140" spans="2:6" x14ac:dyDescent="0.35">
      <c r="B140" t="str">
        <f>CONCATENATE(Tabela13[[#This Row],[cliente_id]],Tabela13[[#This Row],[mes_ano]])</f>
        <v>X2025-05</v>
      </c>
      <c r="C140" s="5" t="s">
        <v>38</v>
      </c>
      <c r="D140" s="5" t="s">
        <v>69</v>
      </c>
      <c r="E140" s="6">
        <v>21992</v>
      </c>
      <c r="F140" s="6">
        <v>13248.44</v>
      </c>
    </row>
    <row r="141" spans="2:6" x14ac:dyDescent="0.35">
      <c r="B141" t="str">
        <f>CONCATENATE(Tabela13[[#This Row],[cliente_id]],Tabela13[[#This Row],[mes_ano]])</f>
        <v>W2024-12</v>
      </c>
      <c r="C141" s="5" t="s">
        <v>39</v>
      </c>
      <c r="D141" s="5" t="s">
        <v>6</v>
      </c>
      <c r="E141" s="6">
        <v>43954</v>
      </c>
      <c r="F141" s="6">
        <v>23015.58</v>
      </c>
    </row>
    <row r="142" spans="2:6" x14ac:dyDescent="0.35">
      <c r="B142" t="str">
        <f>CONCATENATE(Tabela13[[#This Row],[cliente_id]],Tabela13[[#This Row],[mes_ano]])</f>
        <v>W2025-01</v>
      </c>
      <c r="C142" s="5" t="s">
        <v>39</v>
      </c>
      <c r="D142" s="5" t="s">
        <v>66</v>
      </c>
      <c r="E142" s="6">
        <v>17602</v>
      </c>
      <c r="F142" s="6">
        <v>10768.44</v>
      </c>
    </row>
    <row r="143" spans="2:6" x14ac:dyDescent="0.35">
      <c r="B143" t="str">
        <f>CONCATENATE(Tabela13[[#This Row],[cliente_id]],Tabela13[[#This Row],[mes_ano]])</f>
        <v>W2025-02</v>
      </c>
      <c r="C143" s="5" t="s">
        <v>39</v>
      </c>
      <c r="D143" s="5" t="s">
        <v>67</v>
      </c>
      <c r="E143" s="6">
        <v>49685</v>
      </c>
      <c r="F143" s="6">
        <v>28990.560000000001</v>
      </c>
    </row>
    <row r="144" spans="2:6" x14ac:dyDescent="0.35">
      <c r="B144" t="str">
        <f>CONCATENATE(Tabela13[[#This Row],[cliente_id]],Tabela13[[#This Row],[mes_ano]])</f>
        <v>W2025-03</v>
      </c>
      <c r="C144" s="5" t="s">
        <v>39</v>
      </c>
      <c r="D144" s="5" t="s">
        <v>88</v>
      </c>
      <c r="E144" s="6">
        <v>42082</v>
      </c>
      <c r="F144" s="6">
        <v>29531.18</v>
      </c>
    </row>
    <row r="145" spans="2:6" x14ac:dyDescent="0.35">
      <c r="B145" t="str">
        <f>CONCATENATE(Tabela13[[#This Row],[cliente_id]],Tabela13[[#This Row],[mes_ano]])</f>
        <v>W2025-04</v>
      </c>
      <c r="C145" s="5" t="s">
        <v>39</v>
      </c>
      <c r="D145" s="5" t="s">
        <v>68</v>
      </c>
      <c r="E145" s="6">
        <v>43161</v>
      </c>
      <c r="F145" s="6">
        <v>28077.29</v>
      </c>
    </row>
    <row r="146" spans="2:6" x14ac:dyDescent="0.35">
      <c r="B146" t="str">
        <f>CONCATENATE(Tabela13[[#This Row],[cliente_id]],Tabela13[[#This Row],[mes_ano]])</f>
        <v>W2025-05</v>
      </c>
      <c r="C146" s="5" t="s">
        <v>39</v>
      </c>
      <c r="D146" s="5" t="s">
        <v>69</v>
      </c>
      <c r="E146" s="6">
        <v>36095</v>
      </c>
      <c r="F146" s="6">
        <v>19061.560000000001</v>
      </c>
    </row>
    <row r="147" spans="2:6" x14ac:dyDescent="0.35">
      <c r="B147" t="str">
        <f>CONCATENATE(Tabela13[[#This Row],[cliente_id]],Tabela13[[#This Row],[mes_ano]])</f>
        <v>Y2024-12</v>
      </c>
      <c r="C147" s="5" t="s">
        <v>40</v>
      </c>
      <c r="D147" s="5" t="s">
        <v>6</v>
      </c>
      <c r="E147" s="6">
        <v>11107</v>
      </c>
      <c r="F147" s="6">
        <v>7488.07</v>
      </c>
    </row>
    <row r="148" spans="2:6" x14ac:dyDescent="0.35">
      <c r="B148" t="str">
        <f>CONCATENATE(Tabela13[[#This Row],[cliente_id]],Tabela13[[#This Row],[mes_ano]])</f>
        <v>Y2025-01</v>
      </c>
      <c r="C148" s="5" t="s">
        <v>40</v>
      </c>
      <c r="D148" s="5" t="s">
        <v>66</v>
      </c>
      <c r="E148" s="6">
        <v>26020</v>
      </c>
      <c r="F148" s="6">
        <v>19148.64</v>
      </c>
    </row>
    <row r="149" spans="2:6" x14ac:dyDescent="0.35">
      <c r="B149" t="str">
        <f>CONCATENATE(Tabela13[[#This Row],[cliente_id]],Tabela13[[#This Row],[mes_ano]])</f>
        <v>Y2025-02</v>
      </c>
      <c r="C149" s="5" t="s">
        <v>40</v>
      </c>
      <c r="D149" s="5" t="s">
        <v>67</v>
      </c>
      <c r="E149" s="6">
        <v>25224</v>
      </c>
      <c r="F149" s="6">
        <v>19123.689999999999</v>
      </c>
    </row>
    <row r="150" spans="2:6" x14ac:dyDescent="0.35">
      <c r="B150" t="str">
        <f>CONCATENATE(Tabela13[[#This Row],[cliente_id]],Tabela13[[#This Row],[mes_ano]])</f>
        <v>Y2025-03</v>
      </c>
      <c r="C150" s="5" t="s">
        <v>40</v>
      </c>
      <c r="D150" s="5" t="s">
        <v>88</v>
      </c>
      <c r="E150" s="6">
        <v>20585</v>
      </c>
      <c r="F150" s="6">
        <v>15216.51</v>
      </c>
    </row>
    <row r="151" spans="2:6" x14ac:dyDescent="0.35">
      <c r="B151" t="str">
        <f>CONCATENATE(Tabela13[[#This Row],[cliente_id]],Tabela13[[#This Row],[mes_ano]])</f>
        <v>Y2025-04</v>
      </c>
      <c r="C151" s="5" t="s">
        <v>40</v>
      </c>
      <c r="D151" s="5" t="s">
        <v>68</v>
      </c>
      <c r="E151" s="6">
        <v>45898</v>
      </c>
      <c r="F151" s="6">
        <v>32565.43</v>
      </c>
    </row>
    <row r="152" spans="2:6" x14ac:dyDescent="0.35">
      <c r="B152" t="str">
        <f>CONCATENATE(Tabela13[[#This Row],[cliente_id]],Tabela13[[#This Row],[mes_ano]])</f>
        <v>Y2025-05</v>
      </c>
      <c r="C152" s="5" t="s">
        <v>40</v>
      </c>
      <c r="D152" s="5" t="s">
        <v>69</v>
      </c>
      <c r="E152" s="6">
        <v>9265</v>
      </c>
      <c r="F152" s="6">
        <v>7037.71</v>
      </c>
    </row>
    <row r="153" spans="2:6" x14ac:dyDescent="0.35">
      <c r="B153" t="str">
        <f>CONCATENATE(Tabela13[[#This Row],[cliente_id]],Tabela13[[#This Row],[mes_ano]])</f>
        <v>Z2024-12</v>
      </c>
      <c r="C153" s="5" t="s">
        <v>41</v>
      </c>
      <c r="D153" s="5" t="s">
        <v>6</v>
      </c>
      <c r="E153" s="6">
        <v>7187</v>
      </c>
      <c r="F153" s="6">
        <v>5587.8</v>
      </c>
    </row>
    <row r="154" spans="2:6" x14ac:dyDescent="0.35">
      <c r="B154" t="str">
        <f>CONCATENATE(Tabela13[[#This Row],[cliente_id]],Tabela13[[#This Row],[mes_ano]])</f>
        <v>Z2025-01</v>
      </c>
      <c r="C154" s="5" t="s">
        <v>41</v>
      </c>
      <c r="D154" s="5" t="s">
        <v>66</v>
      </c>
      <c r="E154" s="6">
        <v>41871</v>
      </c>
      <c r="F154" s="6">
        <v>30230.080000000002</v>
      </c>
    </row>
    <row r="155" spans="2:6" x14ac:dyDescent="0.35">
      <c r="B155" t="str">
        <f>CONCATENATE(Tabela13[[#This Row],[cliente_id]],Tabela13[[#This Row],[mes_ano]])</f>
        <v>Z2025-02</v>
      </c>
      <c r="C155" s="5" t="s">
        <v>41</v>
      </c>
      <c r="D155" s="5" t="s">
        <v>67</v>
      </c>
      <c r="E155" s="6">
        <v>11067</v>
      </c>
      <c r="F155" s="6">
        <v>5741.22</v>
      </c>
    </row>
    <row r="156" spans="2:6" x14ac:dyDescent="0.35">
      <c r="B156" t="str">
        <f>CONCATENATE(Tabela13[[#This Row],[cliente_id]],Tabela13[[#This Row],[mes_ano]])</f>
        <v>Z2025-03</v>
      </c>
      <c r="C156" s="5" t="s">
        <v>41</v>
      </c>
      <c r="D156" s="5" t="s">
        <v>88</v>
      </c>
      <c r="E156" s="6">
        <v>6830</v>
      </c>
      <c r="F156" s="6">
        <v>4184.37</v>
      </c>
    </row>
    <row r="157" spans="2:6" x14ac:dyDescent="0.35">
      <c r="B157" t="str">
        <f>CONCATENATE(Tabela13[[#This Row],[cliente_id]],Tabela13[[#This Row],[mes_ano]])</f>
        <v>Z2025-04</v>
      </c>
      <c r="C157" s="5" t="s">
        <v>41</v>
      </c>
      <c r="D157" s="5" t="s">
        <v>68</v>
      </c>
      <c r="E157" s="6">
        <v>40235</v>
      </c>
      <c r="F157" s="6">
        <v>23150.44</v>
      </c>
    </row>
    <row r="158" spans="2:6" x14ac:dyDescent="0.35">
      <c r="B158" t="str">
        <f>CONCATENATE(Tabela13[[#This Row],[cliente_id]],Tabela13[[#This Row],[mes_ano]])</f>
        <v>Z2025-05</v>
      </c>
      <c r="C158" s="5" t="s">
        <v>41</v>
      </c>
      <c r="D158" s="5" t="s">
        <v>69</v>
      </c>
      <c r="E158" s="6">
        <v>35425</v>
      </c>
      <c r="F158" s="6">
        <v>21884.63</v>
      </c>
    </row>
    <row r="159" spans="2:6" x14ac:dyDescent="0.35">
      <c r="B159" t="str">
        <f>CONCATENATE(Tabela13[[#This Row],[cliente_id]],Tabela13[[#This Row],[mes_ano]])</f>
        <v>AA2024-12</v>
      </c>
      <c r="C159" s="5" t="s">
        <v>42</v>
      </c>
      <c r="D159" s="5" t="s">
        <v>6</v>
      </c>
      <c r="E159" s="6">
        <v>28969</v>
      </c>
      <c r="F159" s="6">
        <v>20582.7</v>
      </c>
    </row>
    <row r="160" spans="2:6" x14ac:dyDescent="0.35">
      <c r="B160" t="str">
        <f>CONCATENATE(Tabela13[[#This Row],[cliente_id]],Tabela13[[#This Row],[mes_ano]])</f>
        <v>AA2025-01</v>
      </c>
      <c r="C160" s="5" t="s">
        <v>42</v>
      </c>
      <c r="D160" s="5" t="s">
        <v>66</v>
      </c>
      <c r="E160" s="6">
        <v>2386</v>
      </c>
      <c r="F160" s="6">
        <v>1690.13</v>
      </c>
    </row>
    <row r="161" spans="2:6" x14ac:dyDescent="0.35">
      <c r="B161" t="str">
        <f>CONCATENATE(Tabela13[[#This Row],[cliente_id]],Tabela13[[#This Row],[mes_ano]])</f>
        <v>AA2025-02</v>
      </c>
      <c r="C161" s="5" t="s">
        <v>42</v>
      </c>
      <c r="D161" s="5" t="s">
        <v>67</v>
      </c>
      <c r="E161" s="6">
        <v>40838</v>
      </c>
      <c r="F161" s="6">
        <v>23362.16</v>
      </c>
    </row>
    <row r="162" spans="2:6" x14ac:dyDescent="0.35">
      <c r="B162" t="str">
        <f>CONCATENATE(Tabela13[[#This Row],[cliente_id]],Tabela13[[#This Row],[mes_ano]])</f>
        <v>AA2025-03</v>
      </c>
      <c r="C162" s="5" t="s">
        <v>42</v>
      </c>
      <c r="D162" s="5" t="s">
        <v>88</v>
      </c>
      <c r="E162" s="6">
        <v>8978</v>
      </c>
      <c r="F162" s="6">
        <v>5112.78</v>
      </c>
    </row>
    <row r="163" spans="2:6" x14ac:dyDescent="0.35">
      <c r="B163" t="str">
        <f>CONCATENATE(Tabela13[[#This Row],[cliente_id]],Tabela13[[#This Row],[mes_ano]])</f>
        <v>AA2025-04</v>
      </c>
      <c r="C163" s="5" t="s">
        <v>42</v>
      </c>
      <c r="D163" s="5" t="s">
        <v>68</v>
      </c>
      <c r="E163" s="6">
        <v>27839</v>
      </c>
      <c r="F163" s="6">
        <v>17335.05</v>
      </c>
    </row>
    <row r="164" spans="2:6" x14ac:dyDescent="0.35">
      <c r="B164" t="str">
        <f>CONCATENATE(Tabela13[[#This Row],[cliente_id]],Tabela13[[#This Row],[mes_ano]])</f>
        <v>AA2025-05</v>
      </c>
      <c r="C164" s="5" t="s">
        <v>42</v>
      </c>
      <c r="D164" s="5" t="s">
        <v>69</v>
      </c>
      <c r="E164" s="6">
        <v>39248</v>
      </c>
      <c r="F164" s="6">
        <v>22489.65</v>
      </c>
    </row>
    <row r="165" spans="2:6" x14ac:dyDescent="0.35">
      <c r="B165" t="str">
        <f>CONCATENATE(Tabela13[[#This Row],[cliente_id]],Tabela13[[#This Row],[mes_ano]])</f>
        <v>AB2024-12</v>
      </c>
      <c r="C165" s="5" t="s">
        <v>43</v>
      </c>
      <c r="D165" s="5" t="s">
        <v>6</v>
      </c>
      <c r="E165" s="6">
        <v>23771</v>
      </c>
      <c r="F165" s="6">
        <v>18909.580000000002</v>
      </c>
    </row>
    <row r="166" spans="2:6" x14ac:dyDescent="0.35">
      <c r="B166" t="str">
        <f>CONCATENATE(Tabela13[[#This Row],[cliente_id]],Tabela13[[#This Row],[mes_ano]])</f>
        <v>AB2025-01</v>
      </c>
      <c r="C166" s="5" t="s">
        <v>43</v>
      </c>
      <c r="D166" s="5" t="s">
        <v>66</v>
      </c>
      <c r="E166" s="6">
        <v>34600</v>
      </c>
      <c r="F166" s="6">
        <v>27023.13</v>
      </c>
    </row>
    <row r="167" spans="2:6" x14ac:dyDescent="0.35">
      <c r="B167" t="str">
        <f>CONCATENATE(Tabela13[[#This Row],[cliente_id]],Tabela13[[#This Row],[mes_ano]])</f>
        <v>AB2025-02</v>
      </c>
      <c r="C167" s="5" t="s">
        <v>43</v>
      </c>
      <c r="D167" s="5" t="s">
        <v>67</v>
      </c>
      <c r="E167" s="6">
        <v>22016</v>
      </c>
      <c r="F167" s="6">
        <v>14173.99</v>
      </c>
    </row>
    <row r="168" spans="2:6" x14ac:dyDescent="0.35">
      <c r="B168" t="str">
        <f>CONCATENATE(Tabela13[[#This Row],[cliente_id]],Tabela13[[#This Row],[mes_ano]])</f>
        <v>AB2025-03</v>
      </c>
      <c r="C168" s="5" t="s">
        <v>43</v>
      </c>
      <c r="D168" s="5" t="s">
        <v>88</v>
      </c>
      <c r="E168" s="6">
        <v>8422</v>
      </c>
      <c r="F168" s="6">
        <v>4549.87</v>
      </c>
    </row>
    <row r="169" spans="2:6" x14ac:dyDescent="0.35">
      <c r="B169" t="str">
        <f>CONCATENATE(Tabela13[[#This Row],[cliente_id]],Tabela13[[#This Row],[mes_ano]])</f>
        <v>AB2025-04</v>
      </c>
      <c r="C169" s="5" t="s">
        <v>43</v>
      </c>
      <c r="D169" s="5" t="s">
        <v>68</v>
      </c>
      <c r="E169" s="6">
        <v>30851</v>
      </c>
      <c r="F169" s="6">
        <v>17088.32</v>
      </c>
    </row>
    <row r="170" spans="2:6" x14ac:dyDescent="0.35">
      <c r="B170" t="str">
        <f>CONCATENATE(Tabela13[[#This Row],[cliente_id]],Tabela13[[#This Row],[mes_ano]])</f>
        <v>AB2025-05</v>
      </c>
      <c r="C170" s="5" t="s">
        <v>43</v>
      </c>
      <c r="D170" s="5" t="s">
        <v>69</v>
      </c>
      <c r="E170" s="6">
        <v>10593</v>
      </c>
      <c r="F170" s="6">
        <v>5393.04</v>
      </c>
    </row>
    <row r="171" spans="2:6" x14ac:dyDescent="0.35">
      <c r="B171" t="str">
        <f>CONCATENATE(Tabela13[[#This Row],[cliente_id]],Tabela13[[#This Row],[mes_ano]])</f>
        <v>AC2024-12</v>
      </c>
      <c r="C171" s="5" t="s">
        <v>44</v>
      </c>
      <c r="D171" s="5" t="s">
        <v>6</v>
      </c>
      <c r="E171" s="6">
        <v>39501</v>
      </c>
      <c r="F171" s="6">
        <v>21731.37</v>
      </c>
    </row>
    <row r="172" spans="2:6" x14ac:dyDescent="0.35">
      <c r="B172" t="str">
        <f>CONCATENATE(Tabela13[[#This Row],[cliente_id]],Tabela13[[#This Row],[mes_ano]])</f>
        <v>AC2025-01</v>
      </c>
      <c r="C172" s="5" t="s">
        <v>44</v>
      </c>
      <c r="D172" s="5" t="s">
        <v>66</v>
      </c>
      <c r="E172" s="6">
        <v>34417</v>
      </c>
      <c r="F172" s="6">
        <v>21307.68</v>
      </c>
    </row>
    <row r="173" spans="2:6" x14ac:dyDescent="0.35">
      <c r="B173" t="str">
        <f>CONCATENATE(Tabela13[[#This Row],[cliente_id]],Tabela13[[#This Row],[mes_ano]])</f>
        <v>AC2025-02</v>
      </c>
      <c r="C173" s="5" t="s">
        <v>44</v>
      </c>
      <c r="D173" s="5" t="s">
        <v>67</v>
      </c>
      <c r="E173" s="6">
        <v>21078</v>
      </c>
      <c r="F173" s="6">
        <v>16782.36</v>
      </c>
    </row>
    <row r="174" spans="2:6" x14ac:dyDescent="0.35">
      <c r="B174" t="str">
        <f>CONCATENATE(Tabela13[[#This Row],[cliente_id]],Tabela13[[#This Row],[mes_ano]])</f>
        <v>AC2025-03</v>
      </c>
      <c r="C174" s="5" t="s">
        <v>44</v>
      </c>
      <c r="D174" s="5" t="s">
        <v>88</v>
      </c>
      <c r="E174" s="6">
        <v>33430</v>
      </c>
      <c r="F174" s="6">
        <v>22323.15</v>
      </c>
    </row>
    <row r="175" spans="2:6" x14ac:dyDescent="0.35">
      <c r="B175" t="str">
        <f>CONCATENATE(Tabela13[[#This Row],[cliente_id]],Tabela13[[#This Row],[mes_ano]])</f>
        <v>AC2025-04</v>
      </c>
      <c r="C175" s="5" t="s">
        <v>44</v>
      </c>
      <c r="D175" s="5" t="s">
        <v>68</v>
      </c>
      <c r="E175" s="6">
        <v>43196</v>
      </c>
      <c r="F175" s="6">
        <v>28280.79</v>
      </c>
    </row>
    <row r="176" spans="2:6" x14ac:dyDescent="0.35">
      <c r="B176" t="str">
        <f>CONCATENATE(Tabela13[[#This Row],[cliente_id]],Tabela13[[#This Row],[mes_ano]])</f>
        <v>AC2025-05</v>
      </c>
      <c r="C176" s="5" t="s">
        <v>44</v>
      </c>
      <c r="D176" s="5" t="s">
        <v>69</v>
      </c>
      <c r="E176" s="6">
        <v>40074</v>
      </c>
      <c r="F176" s="6">
        <v>28216.23</v>
      </c>
    </row>
    <row r="177" spans="2:6" x14ac:dyDescent="0.35">
      <c r="B177" t="str">
        <f>CONCATENATE(Tabela13[[#This Row],[cliente_id]],Tabela13[[#This Row],[mes_ano]])</f>
        <v>AD2024-12</v>
      </c>
      <c r="C177" s="5" t="s">
        <v>45</v>
      </c>
      <c r="D177" s="5" t="s">
        <v>6</v>
      </c>
      <c r="E177" s="6">
        <v>15094</v>
      </c>
      <c r="F177" s="6">
        <v>9779.6200000000008</v>
      </c>
    </row>
    <row r="178" spans="2:6" x14ac:dyDescent="0.35">
      <c r="B178" t="str">
        <f>CONCATENATE(Tabela13[[#This Row],[cliente_id]],Tabela13[[#This Row],[mes_ano]])</f>
        <v>AD2025-01</v>
      </c>
      <c r="C178" s="5" t="s">
        <v>45</v>
      </c>
      <c r="D178" s="5" t="s">
        <v>66</v>
      </c>
      <c r="E178" s="6">
        <v>18751</v>
      </c>
      <c r="F178" s="6">
        <v>12296.08</v>
      </c>
    </row>
    <row r="179" spans="2:6" x14ac:dyDescent="0.35">
      <c r="B179" t="str">
        <f>CONCATENATE(Tabela13[[#This Row],[cliente_id]],Tabela13[[#This Row],[mes_ano]])</f>
        <v>AD2025-02</v>
      </c>
      <c r="C179" s="5" t="s">
        <v>45</v>
      </c>
      <c r="D179" s="5" t="s">
        <v>67</v>
      </c>
      <c r="E179" s="6">
        <v>21586</v>
      </c>
      <c r="F179" s="6">
        <v>14257.13</v>
      </c>
    </row>
    <row r="180" spans="2:6" x14ac:dyDescent="0.35">
      <c r="B180" t="str">
        <f>CONCATENATE(Tabela13[[#This Row],[cliente_id]],Tabela13[[#This Row],[mes_ano]])</f>
        <v>AD2025-03</v>
      </c>
      <c r="C180" s="5" t="s">
        <v>45</v>
      </c>
      <c r="D180" s="5" t="s">
        <v>88</v>
      </c>
      <c r="E180" s="6">
        <v>48315</v>
      </c>
      <c r="F180" s="6">
        <v>27348.19</v>
      </c>
    </row>
    <row r="181" spans="2:6" x14ac:dyDescent="0.35">
      <c r="B181" t="str">
        <f>CONCATENATE(Tabela13[[#This Row],[cliente_id]],Tabela13[[#This Row],[mes_ano]])</f>
        <v>AD2025-04</v>
      </c>
      <c r="C181" s="5" t="s">
        <v>45</v>
      </c>
      <c r="D181" s="5" t="s">
        <v>68</v>
      </c>
      <c r="E181" s="6">
        <v>7391</v>
      </c>
      <c r="F181" s="6">
        <v>4785.66</v>
      </c>
    </row>
    <row r="182" spans="2:6" x14ac:dyDescent="0.35">
      <c r="B182" t="str">
        <f>CONCATENATE(Tabela13[[#This Row],[cliente_id]],Tabela13[[#This Row],[mes_ano]])</f>
        <v>AD2025-05</v>
      </c>
      <c r="C182" s="5" t="s">
        <v>45</v>
      </c>
      <c r="D182" s="5" t="s">
        <v>69</v>
      </c>
      <c r="E182" s="6">
        <v>40885</v>
      </c>
      <c r="F182" s="6">
        <v>25475.49</v>
      </c>
    </row>
    <row r="183" spans="2:6" x14ac:dyDescent="0.35">
      <c r="B183" t="str">
        <f>CONCATENATE(Tabela13[[#This Row],[cliente_id]],Tabela13[[#This Row],[mes_ano]])</f>
        <v>AE2024-12</v>
      </c>
      <c r="C183" s="5" t="s">
        <v>46</v>
      </c>
      <c r="D183" s="5" t="s">
        <v>6</v>
      </c>
      <c r="E183" s="6">
        <v>31309</v>
      </c>
      <c r="F183" s="6">
        <v>17589.259999999998</v>
      </c>
    </row>
    <row r="184" spans="2:6" x14ac:dyDescent="0.35">
      <c r="B184" t="str">
        <f>CONCATENATE(Tabela13[[#This Row],[cliente_id]],Tabela13[[#This Row],[mes_ano]])</f>
        <v>AE2025-01</v>
      </c>
      <c r="C184" s="5" t="s">
        <v>46</v>
      </c>
      <c r="D184" s="5" t="s">
        <v>66</v>
      </c>
      <c r="E184" s="6">
        <v>45790</v>
      </c>
      <c r="F184" s="6">
        <v>26250.04</v>
      </c>
    </row>
    <row r="185" spans="2:6" x14ac:dyDescent="0.35">
      <c r="B185" t="str">
        <f>CONCATENATE(Tabela13[[#This Row],[cliente_id]],Tabela13[[#This Row],[mes_ano]])</f>
        <v>AE2025-02</v>
      </c>
      <c r="C185" s="5" t="s">
        <v>46</v>
      </c>
      <c r="D185" s="5" t="s">
        <v>67</v>
      </c>
      <c r="E185" s="6">
        <v>21228</v>
      </c>
      <c r="F185" s="6">
        <v>12613.07</v>
      </c>
    </row>
    <row r="186" spans="2:6" x14ac:dyDescent="0.35">
      <c r="B186" t="str">
        <f>CONCATENATE(Tabela13[[#This Row],[cliente_id]],Tabela13[[#This Row],[mes_ano]])</f>
        <v>AE2025-03</v>
      </c>
      <c r="C186" s="5" t="s">
        <v>46</v>
      </c>
      <c r="D186" s="5" t="s">
        <v>88</v>
      </c>
      <c r="E186" s="6">
        <v>26281</v>
      </c>
      <c r="F186" s="6">
        <v>17326.93</v>
      </c>
    </row>
    <row r="187" spans="2:6" x14ac:dyDescent="0.35">
      <c r="B187" t="str">
        <f>CONCATENATE(Tabela13[[#This Row],[cliente_id]],Tabela13[[#This Row],[mes_ano]])</f>
        <v>AE2025-04</v>
      </c>
      <c r="C187" s="5" t="s">
        <v>46</v>
      </c>
      <c r="D187" s="5" t="s">
        <v>68</v>
      </c>
      <c r="E187" s="6">
        <v>48670</v>
      </c>
      <c r="F187" s="6">
        <v>31177.5</v>
      </c>
    </row>
    <row r="188" spans="2:6" x14ac:dyDescent="0.35">
      <c r="B188" t="str">
        <f>CONCATENATE(Tabela13[[#This Row],[cliente_id]],Tabela13[[#This Row],[mes_ano]])</f>
        <v>AE2025-05</v>
      </c>
      <c r="C188" s="5" t="s">
        <v>46</v>
      </c>
      <c r="D188" s="5" t="s">
        <v>69</v>
      </c>
      <c r="E188" s="6">
        <v>9641</v>
      </c>
      <c r="F188" s="6">
        <v>5233.71</v>
      </c>
    </row>
    <row r="189" spans="2:6" x14ac:dyDescent="0.35">
      <c r="B189" t="str">
        <f>CONCATENATE(Tabela13[[#This Row],[cliente_id]],Tabela13[[#This Row],[mes_ano]])</f>
        <v>AF2024-12</v>
      </c>
      <c r="C189" s="5" t="s">
        <v>47</v>
      </c>
      <c r="D189" s="5" t="s">
        <v>6</v>
      </c>
      <c r="E189" s="6">
        <v>41093</v>
      </c>
      <c r="F189" s="6">
        <v>21922.26</v>
      </c>
    </row>
    <row r="190" spans="2:6" x14ac:dyDescent="0.35">
      <c r="B190" t="str">
        <f>CONCATENATE(Tabela13[[#This Row],[cliente_id]],Tabela13[[#This Row],[mes_ano]])</f>
        <v>AF2025-01</v>
      </c>
      <c r="C190" s="5" t="s">
        <v>47</v>
      </c>
      <c r="D190" s="5" t="s">
        <v>66</v>
      </c>
      <c r="E190" s="6">
        <v>33173</v>
      </c>
      <c r="F190" s="6">
        <v>20052.14</v>
      </c>
    </row>
    <row r="191" spans="2:6" x14ac:dyDescent="0.35">
      <c r="B191" t="str">
        <f>CONCATENATE(Tabela13[[#This Row],[cliente_id]],Tabela13[[#This Row],[mes_ano]])</f>
        <v>AF2025-02</v>
      </c>
      <c r="C191" s="5" t="s">
        <v>47</v>
      </c>
      <c r="D191" s="5" t="s">
        <v>67</v>
      </c>
      <c r="E191" s="6">
        <v>18640</v>
      </c>
      <c r="F191" s="6">
        <v>14768.53</v>
      </c>
    </row>
    <row r="192" spans="2:6" x14ac:dyDescent="0.35">
      <c r="B192" t="str">
        <f>CONCATENATE(Tabela13[[#This Row],[cliente_id]],Tabela13[[#This Row],[mes_ano]])</f>
        <v>AF2025-03</v>
      </c>
      <c r="C192" s="5" t="s">
        <v>47</v>
      </c>
      <c r="D192" s="5" t="s">
        <v>88</v>
      </c>
      <c r="E192" s="6">
        <v>48010</v>
      </c>
      <c r="F192" s="6">
        <v>27199.53</v>
      </c>
    </row>
    <row r="193" spans="2:6" x14ac:dyDescent="0.35">
      <c r="B193" t="str">
        <f>CONCATENATE(Tabela13[[#This Row],[cliente_id]],Tabela13[[#This Row],[mes_ano]])</f>
        <v>AF2025-04</v>
      </c>
      <c r="C193" s="5" t="s">
        <v>47</v>
      </c>
      <c r="D193" s="5" t="s">
        <v>68</v>
      </c>
      <c r="E193" s="6">
        <v>29485</v>
      </c>
      <c r="F193" s="6">
        <v>19892.98</v>
      </c>
    </row>
    <row r="194" spans="2:6" x14ac:dyDescent="0.35">
      <c r="B194" t="str">
        <f>CONCATENATE(Tabela13[[#This Row],[cliente_id]],Tabela13[[#This Row],[mes_ano]])</f>
        <v>AF2025-05</v>
      </c>
      <c r="C194" s="5" t="s">
        <v>47</v>
      </c>
      <c r="D194" s="5" t="s">
        <v>69</v>
      </c>
      <c r="E194" s="6">
        <v>34752</v>
      </c>
      <c r="F194" s="6">
        <v>22927.79</v>
      </c>
    </row>
    <row r="195" spans="2:6" x14ac:dyDescent="0.35">
      <c r="B195" t="str">
        <f>CONCATENATE(Tabela13[[#This Row],[cliente_id]],Tabela13[[#This Row],[mes_ano]])</f>
        <v>AG2024-12</v>
      </c>
      <c r="C195" s="5" t="s">
        <v>48</v>
      </c>
      <c r="D195" s="5" t="s">
        <v>6</v>
      </c>
      <c r="E195" s="6">
        <v>40656</v>
      </c>
      <c r="F195" s="6">
        <v>22704.400000000001</v>
      </c>
    </row>
    <row r="196" spans="2:6" x14ac:dyDescent="0.35">
      <c r="B196" t="str">
        <f>CONCATENATE(Tabela13[[#This Row],[cliente_id]],Tabela13[[#This Row],[mes_ano]])</f>
        <v>AG2025-01</v>
      </c>
      <c r="C196" s="5" t="s">
        <v>48</v>
      </c>
      <c r="D196" s="5" t="s">
        <v>66</v>
      </c>
      <c r="E196" s="6">
        <v>24304</v>
      </c>
      <c r="F196" s="6">
        <v>13621.69</v>
      </c>
    </row>
    <row r="197" spans="2:6" x14ac:dyDescent="0.35">
      <c r="B197" t="str">
        <f>CONCATENATE(Tabela13[[#This Row],[cliente_id]],Tabela13[[#This Row],[mes_ano]])</f>
        <v>AG2025-02</v>
      </c>
      <c r="C197" s="5" t="s">
        <v>48</v>
      </c>
      <c r="D197" s="5" t="s">
        <v>67</v>
      </c>
      <c r="E197" s="6">
        <v>37193</v>
      </c>
      <c r="F197" s="6">
        <v>20562.38</v>
      </c>
    </row>
    <row r="198" spans="2:6" x14ac:dyDescent="0.35">
      <c r="B198" t="str">
        <f>CONCATENATE(Tabela13[[#This Row],[cliente_id]],Tabela13[[#This Row],[mes_ano]])</f>
        <v>AG2025-03</v>
      </c>
      <c r="C198" s="5" t="s">
        <v>48</v>
      </c>
      <c r="D198" s="5" t="s">
        <v>88</v>
      </c>
      <c r="E198" s="6">
        <v>21609</v>
      </c>
      <c r="F198" s="6">
        <v>17177.59</v>
      </c>
    </row>
    <row r="199" spans="2:6" x14ac:dyDescent="0.35">
      <c r="B199" t="str">
        <f>CONCATENATE(Tabela13[[#This Row],[cliente_id]],Tabela13[[#This Row],[mes_ano]])</f>
        <v>AG2025-04</v>
      </c>
      <c r="C199" s="5" t="s">
        <v>48</v>
      </c>
      <c r="D199" s="5" t="s">
        <v>68</v>
      </c>
      <c r="E199" s="6">
        <v>43085</v>
      </c>
      <c r="F199" s="6">
        <v>33285.85</v>
      </c>
    </row>
    <row r="200" spans="2:6" x14ac:dyDescent="0.35">
      <c r="B200" t="str">
        <f>CONCATENATE(Tabela13[[#This Row],[cliente_id]],Tabela13[[#This Row],[mes_ano]])</f>
        <v>AG2025-05</v>
      </c>
      <c r="C200" s="5" t="s">
        <v>48</v>
      </c>
      <c r="D200" s="5" t="s">
        <v>69</v>
      </c>
      <c r="E200" s="6">
        <v>11558</v>
      </c>
      <c r="F200" s="6">
        <v>6060.8</v>
      </c>
    </row>
    <row r="201" spans="2:6" x14ac:dyDescent="0.35">
      <c r="B201" t="str">
        <f>CONCATENATE(Tabela13[[#This Row],[cliente_id]],Tabela13[[#This Row],[mes_ano]])</f>
        <v>AH2024-12</v>
      </c>
      <c r="C201" s="5" t="s">
        <v>49</v>
      </c>
      <c r="D201" s="5" t="s">
        <v>6</v>
      </c>
      <c r="E201" s="6">
        <v>16766</v>
      </c>
      <c r="F201" s="6">
        <v>8582.17</v>
      </c>
    </row>
    <row r="202" spans="2:6" x14ac:dyDescent="0.35">
      <c r="B202" t="str">
        <f>CONCATENATE(Tabela13[[#This Row],[cliente_id]],Tabela13[[#This Row],[mes_ano]])</f>
        <v>AH2025-01</v>
      </c>
      <c r="C202" s="5" t="s">
        <v>49</v>
      </c>
      <c r="D202" s="5" t="s">
        <v>66</v>
      </c>
      <c r="E202" s="6">
        <v>23489</v>
      </c>
      <c r="F202" s="6">
        <v>15820.6</v>
      </c>
    </row>
    <row r="203" spans="2:6" x14ac:dyDescent="0.35">
      <c r="B203" t="str">
        <f>CONCATENATE(Tabela13[[#This Row],[cliente_id]],Tabela13[[#This Row],[mes_ano]])</f>
        <v>AH2025-02</v>
      </c>
      <c r="C203" s="5" t="s">
        <v>49</v>
      </c>
      <c r="D203" s="5" t="s">
        <v>67</v>
      </c>
      <c r="E203" s="6">
        <v>39691</v>
      </c>
      <c r="F203" s="6">
        <v>23553.52</v>
      </c>
    </row>
    <row r="204" spans="2:6" x14ac:dyDescent="0.35">
      <c r="B204" t="str">
        <f>CONCATENATE(Tabela13[[#This Row],[cliente_id]],Tabela13[[#This Row],[mes_ano]])</f>
        <v>AH2025-03</v>
      </c>
      <c r="C204" s="5" t="s">
        <v>49</v>
      </c>
      <c r="D204" s="5" t="s">
        <v>88</v>
      </c>
      <c r="E204" s="6">
        <v>31187</v>
      </c>
      <c r="F204" s="6">
        <v>24444.18</v>
      </c>
    </row>
    <row r="205" spans="2:6" x14ac:dyDescent="0.35">
      <c r="B205" t="str">
        <f>CONCATENATE(Tabela13[[#This Row],[cliente_id]],Tabela13[[#This Row],[mes_ano]])</f>
        <v>AH2025-04</v>
      </c>
      <c r="C205" s="5" t="s">
        <v>49</v>
      </c>
      <c r="D205" s="5" t="s">
        <v>68</v>
      </c>
      <c r="E205" s="6">
        <v>48779</v>
      </c>
      <c r="F205" s="6">
        <v>25101.9</v>
      </c>
    </row>
    <row r="206" spans="2:6" x14ac:dyDescent="0.35">
      <c r="B206" t="str">
        <f>CONCATENATE(Tabela13[[#This Row],[cliente_id]],Tabela13[[#This Row],[mes_ano]])</f>
        <v>AH2025-05</v>
      </c>
      <c r="C206" s="5" t="s">
        <v>49</v>
      </c>
      <c r="D206" s="5" t="s">
        <v>69</v>
      </c>
      <c r="E206" s="6">
        <v>23356</v>
      </c>
      <c r="F206" s="6">
        <v>16493.52</v>
      </c>
    </row>
    <row r="207" spans="2:6" x14ac:dyDescent="0.35">
      <c r="B207" t="str">
        <f>CONCATENATE(Tabela13[[#This Row],[cliente_id]],Tabela13[[#This Row],[mes_ano]])</f>
        <v>AI2024-12</v>
      </c>
      <c r="C207" s="5" t="s">
        <v>50</v>
      </c>
      <c r="D207" s="5" t="s">
        <v>6</v>
      </c>
      <c r="E207" s="6">
        <v>44167</v>
      </c>
      <c r="F207" s="6">
        <v>31937.48</v>
      </c>
    </row>
    <row r="208" spans="2:6" x14ac:dyDescent="0.35">
      <c r="B208" t="str">
        <f>CONCATENATE(Tabela13[[#This Row],[cliente_id]],Tabela13[[#This Row],[mes_ano]])</f>
        <v>AI2025-01</v>
      </c>
      <c r="C208" s="5" t="s">
        <v>50</v>
      </c>
      <c r="D208" s="5" t="s">
        <v>66</v>
      </c>
      <c r="E208" s="6">
        <v>15485</v>
      </c>
      <c r="F208" s="6">
        <v>9387.8700000000008</v>
      </c>
    </row>
    <row r="209" spans="2:6" x14ac:dyDescent="0.35">
      <c r="B209" t="str">
        <f>CONCATENATE(Tabela13[[#This Row],[cliente_id]],Tabela13[[#This Row],[mes_ano]])</f>
        <v>AI2025-02</v>
      </c>
      <c r="C209" s="5" t="s">
        <v>50</v>
      </c>
      <c r="D209" s="5" t="s">
        <v>67</v>
      </c>
      <c r="E209" s="6">
        <v>38762</v>
      </c>
      <c r="F209" s="6">
        <v>19724.79</v>
      </c>
    </row>
    <row r="210" spans="2:6" x14ac:dyDescent="0.35">
      <c r="B210" t="str">
        <f>CONCATENATE(Tabela13[[#This Row],[cliente_id]],Tabela13[[#This Row],[mes_ano]])</f>
        <v>AI2025-03</v>
      </c>
      <c r="C210" s="5" t="s">
        <v>50</v>
      </c>
      <c r="D210" s="5" t="s">
        <v>88</v>
      </c>
      <c r="E210" s="6">
        <v>16173</v>
      </c>
      <c r="F210" s="6">
        <v>10475.1</v>
      </c>
    </row>
    <row r="211" spans="2:6" x14ac:dyDescent="0.35">
      <c r="B211" t="str">
        <f>CONCATENATE(Tabela13[[#This Row],[cliente_id]],Tabela13[[#This Row],[mes_ano]])</f>
        <v>AI2025-04</v>
      </c>
      <c r="C211" s="5" t="s">
        <v>50</v>
      </c>
      <c r="D211" s="5" t="s">
        <v>68</v>
      </c>
      <c r="E211" s="6">
        <v>6759</v>
      </c>
      <c r="F211" s="6">
        <v>4409.12</v>
      </c>
    </row>
    <row r="212" spans="2:6" x14ac:dyDescent="0.35">
      <c r="B212" t="str">
        <f>CONCATENATE(Tabela13[[#This Row],[cliente_id]],Tabela13[[#This Row],[mes_ano]])</f>
        <v>AI2025-05</v>
      </c>
      <c r="C212" s="5" t="s">
        <v>50</v>
      </c>
      <c r="D212" s="5" t="s">
        <v>69</v>
      </c>
      <c r="E212" s="6">
        <v>28458</v>
      </c>
      <c r="F212" s="6">
        <v>20445.29</v>
      </c>
    </row>
    <row r="213" spans="2:6" x14ac:dyDescent="0.35">
      <c r="B213" t="str">
        <f>CONCATENATE(Tabela13[[#This Row],[cliente_id]],Tabela13[[#This Row],[mes_ano]])</f>
        <v>AJ2024-12</v>
      </c>
      <c r="C213" s="5" t="s">
        <v>51</v>
      </c>
      <c r="D213" s="5" t="s">
        <v>6</v>
      </c>
      <c r="E213" s="6">
        <v>12535</v>
      </c>
      <c r="F213" s="6">
        <v>7983.67</v>
      </c>
    </row>
    <row r="214" spans="2:6" x14ac:dyDescent="0.35">
      <c r="B214" t="str">
        <f>CONCATENATE(Tabela13[[#This Row],[cliente_id]],Tabela13[[#This Row],[mes_ano]])</f>
        <v>AJ2025-01</v>
      </c>
      <c r="C214" s="5" t="s">
        <v>51</v>
      </c>
      <c r="D214" s="5" t="s">
        <v>66</v>
      </c>
      <c r="E214" s="6">
        <v>27318</v>
      </c>
      <c r="F214" s="6">
        <v>16716.759999999998</v>
      </c>
    </row>
    <row r="215" spans="2:6" x14ac:dyDescent="0.35">
      <c r="B215" t="str">
        <f>CONCATENATE(Tabela13[[#This Row],[cliente_id]],Tabela13[[#This Row],[mes_ano]])</f>
        <v>AJ2025-02</v>
      </c>
      <c r="C215" s="5" t="s">
        <v>51</v>
      </c>
      <c r="D215" s="5" t="s">
        <v>67</v>
      </c>
      <c r="E215" s="6">
        <v>40616</v>
      </c>
      <c r="F215" s="6">
        <v>31661.94</v>
      </c>
    </row>
    <row r="216" spans="2:6" x14ac:dyDescent="0.35">
      <c r="B216" t="str">
        <f>CONCATENATE(Tabela13[[#This Row],[cliente_id]],Tabela13[[#This Row],[mes_ano]])</f>
        <v>AJ2025-03</v>
      </c>
      <c r="C216" s="5" t="s">
        <v>51</v>
      </c>
      <c r="D216" s="5" t="s">
        <v>88</v>
      </c>
      <c r="E216" s="6">
        <v>11782</v>
      </c>
      <c r="F216" s="6">
        <v>8272.6299999999992</v>
      </c>
    </row>
    <row r="217" spans="2:6" x14ac:dyDescent="0.35">
      <c r="B217" t="str">
        <f>CONCATENATE(Tabela13[[#This Row],[cliente_id]],Tabela13[[#This Row],[mes_ano]])</f>
        <v>AJ2025-04</v>
      </c>
      <c r="C217" s="5" t="s">
        <v>51</v>
      </c>
      <c r="D217" s="5" t="s">
        <v>68</v>
      </c>
      <c r="E217" s="6">
        <v>15728</v>
      </c>
      <c r="F217" s="6">
        <v>9077.73</v>
      </c>
    </row>
    <row r="218" spans="2:6" x14ac:dyDescent="0.35">
      <c r="B218" t="str">
        <f>CONCATENATE(Tabela13[[#This Row],[cliente_id]],Tabela13[[#This Row],[mes_ano]])</f>
        <v>AJ2025-05</v>
      </c>
      <c r="C218" s="5" t="s">
        <v>51</v>
      </c>
      <c r="D218" s="5" t="s">
        <v>69</v>
      </c>
      <c r="E218" s="6">
        <v>43830</v>
      </c>
      <c r="F218" s="6">
        <v>29407.77</v>
      </c>
    </row>
    <row r="219" spans="2:6" x14ac:dyDescent="0.35">
      <c r="B219" t="str">
        <f>CONCATENATE(Tabela13[[#This Row],[cliente_id]],Tabela13[[#This Row],[mes_ano]])</f>
        <v>AK2024-12</v>
      </c>
      <c r="C219" s="5" t="s">
        <v>52</v>
      </c>
      <c r="D219" s="5" t="s">
        <v>6</v>
      </c>
      <c r="E219" s="6">
        <v>34278</v>
      </c>
      <c r="F219" s="6">
        <v>26604.97</v>
      </c>
    </row>
    <row r="220" spans="2:6" x14ac:dyDescent="0.35">
      <c r="B220" t="str">
        <f>CONCATENATE(Tabela13[[#This Row],[cliente_id]],Tabela13[[#This Row],[mes_ano]])</f>
        <v>AK2025-01</v>
      </c>
      <c r="C220" s="5" t="s">
        <v>52</v>
      </c>
      <c r="D220" s="5" t="s">
        <v>66</v>
      </c>
      <c r="E220" s="6">
        <v>9274</v>
      </c>
      <c r="F220" s="6">
        <v>6476.54</v>
      </c>
    </row>
    <row r="221" spans="2:6" x14ac:dyDescent="0.35">
      <c r="B221" t="str">
        <f>CONCATENATE(Tabela13[[#This Row],[cliente_id]],Tabela13[[#This Row],[mes_ano]])</f>
        <v>AK2025-02</v>
      </c>
      <c r="C221" s="5" t="s">
        <v>52</v>
      </c>
      <c r="D221" s="5" t="s">
        <v>67</v>
      </c>
      <c r="E221" s="6">
        <v>25990</v>
      </c>
      <c r="F221" s="6">
        <v>18117.98</v>
      </c>
    </row>
    <row r="222" spans="2:6" x14ac:dyDescent="0.35">
      <c r="B222" t="str">
        <f>CONCATENATE(Tabela13[[#This Row],[cliente_id]],Tabela13[[#This Row],[mes_ano]])</f>
        <v>AK2025-03</v>
      </c>
      <c r="C222" s="5" t="s">
        <v>52</v>
      </c>
      <c r="D222" s="5" t="s">
        <v>88</v>
      </c>
      <c r="E222" s="6">
        <v>22422</v>
      </c>
      <c r="F222" s="6">
        <v>15188.46</v>
      </c>
    </row>
    <row r="223" spans="2:6" x14ac:dyDescent="0.35">
      <c r="B223" t="str">
        <f>CONCATENATE(Tabela13[[#This Row],[cliente_id]],Tabela13[[#This Row],[mes_ano]])</f>
        <v>AK2025-04</v>
      </c>
      <c r="C223" s="5" t="s">
        <v>52</v>
      </c>
      <c r="D223" s="5" t="s">
        <v>68</v>
      </c>
      <c r="E223" s="6">
        <v>49124</v>
      </c>
      <c r="F223" s="6">
        <v>33639.35</v>
      </c>
    </row>
    <row r="224" spans="2:6" x14ac:dyDescent="0.35">
      <c r="B224" t="str">
        <f>CONCATENATE(Tabela13[[#This Row],[cliente_id]],Tabela13[[#This Row],[mes_ano]])</f>
        <v>AK2025-05</v>
      </c>
      <c r="C224" s="5" t="s">
        <v>52</v>
      </c>
      <c r="D224" s="5" t="s">
        <v>69</v>
      </c>
      <c r="E224" s="6">
        <v>34747</v>
      </c>
      <c r="F224" s="6">
        <v>18622.79</v>
      </c>
    </row>
    <row r="225" spans="2:6" x14ac:dyDescent="0.35">
      <c r="B225" t="str">
        <f>CONCATENATE(Tabela13[[#This Row],[cliente_id]],Tabela13[[#This Row],[mes_ano]])</f>
        <v>AL2024-12</v>
      </c>
      <c r="C225" s="5" t="s">
        <v>53</v>
      </c>
      <c r="D225" s="5" t="s">
        <v>6</v>
      </c>
      <c r="E225" s="6">
        <v>37824</v>
      </c>
      <c r="F225" s="6">
        <v>19545.88</v>
      </c>
    </row>
    <row r="226" spans="2:6" x14ac:dyDescent="0.35">
      <c r="B226" t="str">
        <f>CONCATENATE(Tabela13[[#This Row],[cliente_id]],Tabela13[[#This Row],[mes_ano]])</f>
        <v>AL2025-01</v>
      </c>
      <c r="C226" s="5" t="s">
        <v>53</v>
      </c>
      <c r="D226" s="5" t="s">
        <v>66</v>
      </c>
      <c r="E226" s="6">
        <v>33725</v>
      </c>
      <c r="F226" s="6">
        <v>22500.58</v>
      </c>
    </row>
    <row r="227" spans="2:6" x14ac:dyDescent="0.35">
      <c r="B227" t="str">
        <f>CONCATENATE(Tabela13[[#This Row],[cliente_id]],Tabela13[[#This Row],[mes_ano]])</f>
        <v>AL2025-02</v>
      </c>
      <c r="C227" s="5" t="s">
        <v>53</v>
      </c>
      <c r="D227" s="5" t="s">
        <v>67</v>
      </c>
      <c r="E227" s="6">
        <v>47708</v>
      </c>
      <c r="F227" s="6">
        <v>33859.769999999997</v>
      </c>
    </row>
    <row r="228" spans="2:6" x14ac:dyDescent="0.35">
      <c r="B228" t="str">
        <f>CONCATENATE(Tabela13[[#This Row],[cliente_id]],Tabela13[[#This Row],[mes_ano]])</f>
        <v>AL2025-03</v>
      </c>
      <c r="C228" s="5" t="s">
        <v>53</v>
      </c>
      <c r="D228" s="5" t="s">
        <v>88</v>
      </c>
      <c r="E228" s="6">
        <v>41937</v>
      </c>
      <c r="F228" s="6">
        <v>30594.46</v>
      </c>
    </row>
    <row r="229" spans="2:6" x14ac:dyDescent="0.35">
      <c r="B229" t="str">
        <f>CONCATENATE(Tabela13[[#This Row],[cliente_id]],Tabela13[[#This Row],[mes_ano]])</f>
        <v>AL2025-04</v>
      </c>
      <c r="C229" s="5" t="s">
        <v>53</v>
      </c>
      <c r="D229" s="5" t="s">
        <v>68</v>
      </c>
      <c r="E229" s="6">
        <v>4864</v>
      </c>
      <c r="F229" s="6">
        <v>2457.63</v>
      </c>
    </row>
    <row r="230" spans="2:6" x14ac:dyDescent="0.35">
      <c r="B230" t="str">
        <f>CONCATENATE(Tabela13[[#This Row],[cliente_id]],Tabela13[[#This Row],[mes_ano]])</f>
        <v>AL2025-05</v>
      </c>
      <c r="C230" s="5" t="s">
        <v>53</v>
      </c>
      <c r="D230" s="5" t="s">
        <v>69</v>
      </c>
      <c r="E230" s="6">
        <v>9238</v>
      </c>
      <c r="F230" s="6">
        <v>6623.4</v>
      </c>
    </row>
    <row r="231" spans="2:6" x14ac:dyDescent="0.35">
      <c r="B231" t="str">
        <f>CONCATENATE(Tabela13[[#This Row],[cliente_id]],Tabela13[[#This Row],[mes_ano]])</f>
        <v>AM2024-12</v>
      </c>
      <c r="C231" s="5" t="s">
        <v>54</v>
      </c>
      <c r="D231" s="5" t="s">
        <v>6</v>
      </c>
      <c r="E231" s="6">
        <v>44774</v>
      </c>
      <c r="F231" s="6">
        <v>28511.23</v>
      </c>
    </row>
    <row r="232" spans="2:6" x14ac:dyDescent="0.35">
      <c r="B232" t="str">
        <f>CONCATENATE(Tabela13[[#This Row],[cliente_id]],Tabela13[[#This Row],[mes_ano]])</f>
        <v>AM2025-01</v>
      </c>
      <c r="C232" s="5" t="s">
        <v>54</v>
      </c>
      <c r="D232" s="5" t="s">
        <v>66</v>
      </c>
      <c r="E232" s="6">
        <v>46815</v>
      </c>
      <c r="F232" s="6">
        <v>24877.21</v>
      </c>
    </row>
    <row r="233" spans="2:6" x14ac:dyDescent="0.35">
      <c r="B233" t="str">
        <f>CONCATENATE(Tabela13[[#This Row],[cliente_id]],Tabela13[[#This Row],[mes_ano]])</f>
        <v>AM2025-02</v>
      </c>
      <c r="C233" s="5" t="s">
        <v>54</v>
      </c>
      <c r="D233" s="5" t="s">
        <v>67</v>
      </c>
      <c r="E233" s="6">
        <v>10474</v>
      </c>
      <c r="F233" s="6">
        <v>8095.69</v>
      </c>
    </row>
    <row r="234" spans="2:6" x14ac:dyDescent="0.35">
      <c r="B234" t="str">
        <f>CONCATENATE(Tabela13[[#This Row],[cliente_id]],Tabela13[[#This Row],[mes_ano]])</f>
        <v>AM2025-03</v>
      </c>
      <c r="C234" s="5" t="s">
        <v>54</v>
      </c>
      <c r="D234" s="5" t="s">
        <v>88</v>
      </c>
      <c r="E234" s="6">
        <v>11251</v>
      </c>
      <c r="F234" s="6">
        <v>7980.88</v>
      </c>
    </row>
    <row r="235" spans="2:6" x14ac:dyDescent="0.35">
      <c r="B235" t="str">
        <f>CONCATENATE(Tabela13[[#This Row],[cliente_id]],Tabela13[[#This Row],[mes_ano]])</f>
        <v>AM2025-04</v>
      </c>
      <c r="C235" s="5" t="s">
        <v>54</v>
      </c>
      <c r="D235" s="5" t="s">
        <v>68</v>
      </c>
      <c r="E235" s="6">
        <v>37443</v>
      </c>
      <c r="F235" s="6">
        <v>29053.23</v>
      </c>
    </row>
    <row r="236" spans="2:6" x14ac:dyDescent="0.35">
      <c r="B236" t="str">
        <f>CONCATENATE(Tabela13[[#This Row],[cliente_id]],Tabela13[[#This Row],[mes_ano]])</f>
        <v>AM2025-05</v>
      </c>
      <c r="C236" s="5" t="s">
        <v>54</v>
      </c>
      <c r="D236" s="5" t="s">
        <v>69</v>
      </c>
      <c r="E236" s="6">
        <v>35749</v>
      </c>
      <c r="F236" s="6">
        <v>25853.93</v>
      </c>
    </row>
    <row r="237" spans="2:6" x14ac:dyDescent="0.35">
      <c r="B237" t="str">
        <f>CONCATENATE(Tabela13[[#This Row],[cliente_id]],Tabela13[[#This Row],[mes_ano]])</f>
        <v>AN2024-12</v>
      </c>
      <c r="C237" s="5" t="s">
        <v>55</v>
      </c>
      <c r="D237" s="5" t="s">
        <v>6</v>
      </c>
      <c r="E237" s="6">
        <v>40023</v>
      </c>
      <c r="F237" s="6">
        <v>28343.45</v>
      </c>
    </row>
    <row r="238" spans="2:6" x14ac:dyDescent="0.35">
      <c r="B238" t="str">
        <f>CONCATENATE(Tabela13[[#This Row],[cliente_id]],Tabela13[[#This Row],[mes_ano]])</f>
        <v>AN2025-01</v>
      </c>
      <c r="C238" s="5" t="s">
        <v>55</v>
      </c>
      <c r="D238" s="5" t="s">
        <v>66</v>
      </c>
      <c r="E238" s="6">
        <v>11144</v>
      </c>
      <c r="F238" s="6">
        <v>7722.01</v>
      </c>
    </row>
    <row r="239" spans="2:6" x14ac:dyDescent="0.35">
      <c r="B239" t="str">
        <f>CONCATENATE(Tabela13[[#This Row],[cliente_id]],Tabela13[[#This Row],[mes_ano]])</f>
        <v>AN2025-02</v>
      </c>
      <c r="C239" s="5" t="s">
        <v>55</v>
      </c>
      <c r="D239" s="5" t="s">
        <v>67</v>
      </c>
      <c r="E239" s="6">
        <v>18478</v>
      </c>
      <c r="F239" s="6">
        <v>13776.58</v>
      </c>
    </row>
    <row r="240" spans="2:6" x14ac:dyDescent="0.35">
      <c r="B240" t="str">
        <f>CONCATENATE(Tabela13[[#This Row],[cliente_id]],Tabela13[[#This Row],[mes_ano]])</f>
        <v>AN2025-03</v>
      </c>
      <c r="C240" s="5" t="s">
        <v>55</v>
      </c>
      <c r="D240" s="5" t="s">
        <v>88</v>
      </c>
      <c r="E240" s="6">
        <v>2095</v>
      </c>
      <c r="F240" s="6">
        <v>1658.89</v>
      </c>
    </row>
    <row r="241" spans="2:6" x14ac:dyDescent="0.35">
      <c r="B241" t="str">
        <f>CONCATENATE(Tabela13[[#This Row],[cliente_id]],Tabela13[[#This Row],[mes_ano]])</f>
        <v>AN2025-04</v>
      </c>
      <c r="C241" s="5" t="s">
        <v>55</v>
      </c>
      <c r="D241" s="5" t="s">
        <v>68</v>
      </c>
      <c r="E241" s="6">
        <v>41794</v>
      </c>
      <c r="F241" s="6">
        <v>24439.65</v>
      </c>
    </row>
    <row r="242" spans="2:6" x14ac:dyDescent="0.35">
      <c r="B242" t="str">
        <f>CONCATENATE(Tabela13[[#This Row],[cliente_id]],Tabela13[[#This Row],[mes_ano]])</f>
        <v>AN2025-05</v>
      </c>
      <c r="C242" s="5" t="s">
        <v>55</v>
      </c>
      <c r="D242" s="5" t="s">
        <v>69</v>
      </c>
      <c r="E242" s="6">
        <v>6042</v>
      </c>
      <c r="F242" s="6">
        <v>4401.71</v>
      </c>
    </row>
    <row r="243" spans="2:6" x14ac:dyDescent="0.35">
      <c r="B243" t="str">
        <f>CONCATENATE(Tabela13[[#This Row],[cliente_id]],Tabela13[[#This Row],[mes_ano]])</f>
        <v>AO2024-12</v>
      </c>
      <c r="C243" s="5" t="s">
        <v>56</v>
      </c>
      <c r="D243" s="5" t="s">
        <v>6</v>
      </c>
      <c r="E243" s="6">
        <v>49189</v>
      </c>
      <c r="F243" s="6">
        <v>26285.75</v>
      </c>
    </row>
    <row r="244" spans="2:6" x14ac:dyDescent="0.35">
      <c r="B244" t="str">
        <f>CONCATENATE(Tabela13[[#This Row],[cliente_id]],Tabela13[[#This Row],[mes_ano]])</f>
        <v>AO2025-01</v>
      </c>
      <c r="C244" s="5" t="s">
        <v>56</v>
      </c>
      <c r="D244" s="5" t="s">
        <v>66</v>
      </c>
      <c r="E244" s="6">
        <v>35723</v>
      </c>
      <c r="F244" s="6">
        <v>23567.49</v>
      </c>
    </row>
    <row r="245" spans="2:6" x14ac:dyDescent="0.35">
      <c r="B245" t="str">
        <f>CONCATENATE(Tabela13[[#This Row],[cliente_id]],Tabela13[[#This Row],[mes_ano]])</f>
        <v>AO2025-02</v>
      </c>
      <c r="C245" s="5" t="s">
        <v>56</v>
      </c>
      <c r="D245" s="5" t="s">
        <v>67</v>
      </c>
      <c r="E245" s="6">
        <v>31884</v>
      </c>
      <c r="F245" s="6">
        <v>21240.77</v>
      </c>
    </row>
    <row r="246" spans="2:6" x14ac:dyDescent="0.35">
      <c r="B246" t="str">
        <f>CONCATENATE(Tabela13[[#This Row],[cliente_id]],Tabela13[[#This Row],[mes_ano]])</f>
        <v>AO2025-03</v>
      </c>
      <c r="C246" s="5" t="s">
        <v>56</v>
      </c>
      <c r="D246" s="5" t="s">
        <v>88</v>
      </c>
      <c r="E246" s="6">
        <v>39221</v>
      </c>
      <c r="F246" s="6">
        <v>24824.12</v>
      </c>
    </row>
    <row r="247" spans="2:6" x14ac:dyDescent="0.35">
      <c r="B247" t="str">
        <f>CONCATENATE(Tabela13[[#This Row],[cliente_id]],Tabela13[[#This Row],[mes_ano]])</f>
        <v>AO2025-04</v>
      </c>
      <c r="C247" s="5" t="s">
        <v>56</v>
      </c>
      <c r="D247" s="5" t="s">
        <v>68</v>
      </c>
      <c r="E247" s="6">
        <v>27176</v>
      </c>
      <c r="F247" s="6">
        <v>20582.740000000002</v>
      </c>
    </row>
    <row r="248" spans="2:6" x14ac:dyDescent="0.35">
      <c r="B248" t="str">
        <f>CONCATENATE(Tabela13[[#This Row],[cliente_id]],Tabela13[[#This Row],[mes_ano]])</f>
        <v>AO2025-05</v>
      </c>
      <c r="C248" s="5" t="s">
        <v>56</v>
      </c>
      <c r="D248" s="5" t="s">
        <v>69</v>
      </c>
      <c r="E248" s="6">
        <v>41925</v>
      </c>
      <c r="F248" s="6">
        <v>30881.23</v>
      </c>
    </row>
    <row r="249" spans="2:6" x14ac:dyDescent="0.35">
      <c r="B249" t="str">
        <f>CONCATENATE(Tabela13[[#This Row],[cliente_id]],Tabela13[[#This Row],[mes_ano]])</f>
        <v>AP2024-12</v>
      </c>
      <c r="C249" s="5" t="s">
        <v>57</v>
      </c>
      <c r="D249" s="5" t="s">
        <v>6</v>
      </c>
      <c r="E249" s="6">
        <v>12359</v>
      </c>
      <c r="F249" s="6">
        <v>9527.25</v>
      </c>
    </row>
    <row r="250" spans="2:6" x14ac:dyDescent="0.35">
      <c r="B250" t="str">
        <f>CONCATENATE(Tabela13[[#This Row],[cliente_id]],Tabela13[[#This Row],[mes_ano]])</f>
        <v>AP2025-01</v>
      </c>
      <c r="C250" s="5" t="s">
        <v>57</v>
      </c>
      <c r="D250" s="5" t="s">
        <v>66</v>
      </c>
      <c r="E250" s="6">
        <v>10846</v>
      </c>
      <c r="F250" s="6">
        <v>8446.7199999999993</v>
      </c>
    </row>
    <row r="251" spans="2:6" x14ac:dyDescent="0.35">
      <c r="B251" t="str">
        <f>CONCATENATE(Tabela13[[#This Row],[cliente_id]],Tabela13[[#This Row],[mes_ano]])</f>
        <v>AP2025-02</v>
      </c>
      <c r="C251" s="5" t="s">
        <v>57</v>
      </c>
      <c r="D251" s="5" t="s">
        <v>67</v>
      </c>
      <c r="E251" s="6">
        <v>49109</v>
      </c>
      <c r="F251" s="6">
        <v>29662.54</v>
      </c>
    </row>
    <row r="252" spans="2:6" x14ac:dyDescent="0.35">
      <c r="B252" t="str">
        <f>CONCATENATE(Tabela13[[#This Row],[cliente_id]],Tabela13[[#This Row],[mes_ano]])</f>
        <v>AP2025-03</v>
      </c>
      <c r="C252" s="5" t="s">
        <v>57</v>
      </c>
      <c r="D252" s="5" t="s">
        <v>88</v>
      </c>
      <c r="E252" s="6">
        <v>14581</v>
      </c>
      <c r="F252" s="6">
        <v>7722.65</v>
      </c>
    </row>
    <row r="253" spans="2:6" x14ac:dyDescent="0.35">
      <c r="B253" t="str">
        <f>CONCATENATE(Tabela13[[#This Row],[cliente_id]],Tabela13[[#This Row],[mes_ano]])</f>
        <v>AP2025-04</v>
      </c>
      <c r="C253" s="5" t="s">
        <v>57</v>
      </c>
      <c r="D253" s="5" t="s">
        <v>68</v>
      </c>
      <c r="E253" s="6">
        <v>48615</v>
      </c>
      <c r="F253" s="6">
        <v>35548.629999999997</v>
      </c>
    </row>
    <row r="254" spans="2:6" x14ac:dyDescent="0.35">
      <c r="B254" t="str">
        <f>CONCATENATE(Tabela13[[#This Row],[cliente_id]],Tabela13[[#This Row],[mes_ano]])</f>
        <v>AP2025-05</v>
      </c>
      <c r="C254" s="5" t="s">
        <v>57</v>
      </c>
      <c r="D254" s="5" t="s">
        <v>69</v>
      </c>
      <c r="E254" s="6">
        <v>19053</v>
      </c>
      <c r="F254" s="6">
        <v>11561.88</v>
      </c>
    </row>
    <row r="255" spans="2:6" x14ac:dyDescent="0.35">
      <c r="B255" t="str">
        <f>CONCATENATE(Tabela13[[#This Row],[cliente_id]],Tabela13[[#This Row],[mes_ano]])</f>
        <v>AQ2024-12</v>
      </c>
      <c r="C255" s="5" t="s">
        <v>58</v>
      </c>
      <c r="D255" s="5" t="s">
        <v>6</v>
      </c>
      <c r="E255" s="6">
        <v>3142</v>
      </c>
      <c r="F255" s="6">
        <v>2045.59</v>
      </c>
    </row>
    <row r="256" spans="2:6" x14ac:dyDescent="0.35">
      <c r="B256" t="str">
        <f>CONCATENATE(Tabela13[[#This Row],[cliente_id]],Tabela13[[#This Row],[mes_ano]])</f>
        <v>AQ2025-01</v>
      </c>
      <c r="C256" s="5" t="s">
        <v>58</v>
      </c>
      <c r="D256" s="5" t="s">
        <v>66</v>
      </c>
      <c r="E256" s="6">
        <v>31278</v>
      </c>
      <c r="F256" s="6">
        <v>15750.59</v>
      </c>
    </row>
    <row r="257" spans="2:6" x14ac:dyDescent="0.35">
      <c r="B257" t="str">
        <f>CONCATENATE(Tabela13[[#This Row],[cliente_id]],Tabela13[[#This Row],[mes_ano]])</f>
        <v>AQ2025-02</v>
      </c>
      <c r="C257" s="5" t="s">
        <v>58</v>
      </c>
      <c r="D257" s="5" t="s">
        <v>67</v>
      </c>
      <c r="E257" s="6">
        <v>29699</v>
      </c>
      <c r="F257" s="6">
        <v>22527.040000000001</v>
      </c>
    </row>
    <row r="258" spans="2:6" x14ac:dyDescent="0.35">
      <c r="B258" t="str">
        <f>CONCATENATE(Tabela13[[#This Row],[cliente_id]],Tabela13[[#This Row],[mes_ano]])</f>
        <v>AQ2025-03</v>
      </c>
      <c r="C258" s="5" t="s">
        <v>58</v>
      </c>
      <c r="D258" s="5" t="s">
        <v>88</v>
      </c>
      <c r="E258" s="6">
        <v>26942</v>
      </c>
      <c r="F258" s="6">
        <v>21009.39</v>
      </c>
    </row>
    <row r="259" spans="2:6" x14ac:dyDescent="0.35">
      <c r="B259" t="str">
        <f>CONCATENATE(Tabela13[[#This Row],[cliente_id]],Tabela13[[#This Row],[mes_ano]])</f>
        <v>AQ2025-04</v>
      </c>
      <c r="C259" s="5" t="s">
        <v>58</v>
      </c>
      <c r="D259" s="5" t="s">
        <v>68</v>
      </c>
      <c r="E259" s="6">
        <v>23327</v>
      </c>
      <c r="F259" s="6">
        <v>14661.83</v>
      </c>
    </row>
    <row r="260" spans="2:6" x14ac:dyDescent="0.35">
      <c r="B260" t="str">
        <f>CONCATENATE(Tabela13[[#This Row],[cliente_id]],Tabela13[[#This Row],[mes_ano]])</f>
        <v>AQ2025-05</v>
      </c>
      <c r="C260" s="5" t="s">
        <v>58</v>
      </c>
      <c r="D260" s="5" t="s">
        <v>69</v>
      </c>
      <c r="E260" s="6">
        <v>32952</v>
      </c>
      <c r="F260" s="6">
        <v>23166.99</v>
      </c>
    </row>
    <row r="261" spans="2:6" x14ac:dyDescent="0.35">
      <c r="B261" t="str">
        <f>CONCATENATE(Tabela13[[#This Row],[cliente_id]],Tabela13[[#This Row],[mes_ano]])</f>
        <v>AR2024-12</v>
      </c>
      <c r="C261" s="5" t="s">
        <v>59</v>
      </c>
      <c r="D261" s="5" t="s">
        <v>6</v>
      </c>
      <c r="E261" s="6">
        <v>23453</v>
      </c>
      <c r="F261" s="6">
        <v>12067.83</v>
      </c>
    </row>
    <row r="262" spans="2:6" x14ac:dyDescent="0.35">
      <c r="B262" t="str">
        <f>CONCATENATE(Tabela13[[#This Row],[cliente_id]],Tabela13[[#This Row],[mes_ano]])</f>
        <v>AR2025-01</v>
      </c>
      <c r="C262" s="5" t="s">
        <v>59</v>
      </c>
      <c r="D262" s="5" t="s">
        <v>66</v>
      </c>
      <c r="E262" s="6">
        <v>43994</v>
      </c>
      <c r="F262" s="6">
        <v>34446.699999999997</v>
      </c>
    </row>
    <row r="263" spans="2:6" x14ac:dyDescent="0.35">
      <c r="B263" t="str">
        <f>CONCATENATE(Tabela13[[#This Row],[cliente_id]],Tabela13[[#This Row],[mes_ano]])</f>
        <v>AR2025-02</v>
      </c>
      <c r="C263" s="5" t="s">
        <v>59</v>
      </c>
      <c r="D263" s="5" t="s">
        <v>67</v>
      </c>
      <c r="E263" s="6">
        <v>41766</v>
      </c>
      <c r="F263" s="6">
        <v>24973.86</v>
      </c>
    </row>
    <row r="264" spans="2:6" x14ac:dyDescent="0.35">
      <c r="B264" t="str">
        <f>CONCATENATE(Tabela13[[#This Row],[cliente_id]],Tabela13[[#This Row],[mes_ano]])</f>
        <v>AR2025-03</v>
      </c>
      <c r="C264" s="5" t="s">
        <v>59</v>
      </c>
      <c r="D264" s="5" t="s">
        <v>88</v>
      </c>
      <c r="E264" s="6">
        <v>21105</v>
      </c>
      <c r="F264" s="6">
        <v>13020.6</v>
      </c>
    </row>
    <row r="265" spans="2:6" x14ac:dyDescent="0.35">
      <c r="B265" t="str">
        <f>CONCATENATE(Tabela13[[#This Row],[cliente_id]],Tabela13[[#This Row],[mes_ano]])</f>
        <v>AR2025-04</v>
      </c>
      <c r="C265" s="5" t="s">
        <v>59</v>
      </c>
      <c r="D265" s="5" t="s">
        <v>68</v>
      </c>
      <c r="E265" s="6">
        <v>23131</v>
      </c>
      <c r="F265" s="6">
        <v>15599.38</v>
      </c>
    </row>
    <row r="266" spans="2:6" x14ac:dyDescent="0.35">
      <c r="B266" t="str">
        <f>CONCATENATE(Tabela13[[#This Row],[cliente_id]],Tabela13[[#This Row],[mes_ano]])</f>
        <v>AR2025-05</v>
      </c>
      <c r="C266" s="5" t="s">
        <v>59</v>
      </c>
      <c r="D266" s="5" t="s">
        <v>69</v>
      </c>
      <c r="E266" s="6">
        <v>37588</v>
      </c>
      <c r="F266" s="6">
        <v>24740.71</v>
      </c>
    </row>
    <row r="267" spans="2:6" x14ac:dyDescent="0.35">
      <c r="B267" t="str">
        <f>CONCATENATE(Tabela13[[#This Row],[cliente_id]],Tabela13[[#This Row],[mes_ano]])</f>
        <v>AS2024-12</v>
      </c>
      <c r="C267" s="5" t="s">
        <v>60</v>
      </c>
      <c r="D267" s="5" t="s">
        <v>6</v>
      </c>
      <c r="E267" s="6">
        <v>8913</v>
      </c>
      <c r="F267" s="6">
        <v>6560.5</v>
      </c>
    </row>
    <row r="268" spans="2:6" x14ac:dyDescent="0.35">
      <c r="B268" t="str">
        <f>CONCATENATE(Tabela13[[#This Row],[cliente_id]],Tabela13[[#This Row],[mes_ano]])</f>
        <v>AS2025-01</v>
      </c>
      <c r="C268" s="5" t="s">
        <v>60</v>
      </c>
      <c r="D268" s="5" t="s">
        <v>66</v>
      </c>
      <c r="E268" s="6">
        <v>30440</v>
      </c>
      <c r="F268" s="6">
        <v>22439.75</v>
      </c>
    </row>
    <row r="269" spans="2:6" x14ac:dyDescent="0.35">
      <c r="B269" t="str">
        <f>CONCATENATE(Tabela13[[#This Row],[cliente_id]],Tabela13[[#This Row],[mes_ano]])</f>
        <v>AS2025-02</v>
      </c>
      <c r="C269" s="5" t="s">
        <v>60</v>
      </c>
      <c r="D269" s="5" t="s">
        <v>67</v>
      </c>
      <c r="E269" s="6">
        <v>9926</v>
      </c>
      <c r="F269" s="6">
        <v>6261.24</v>
      </c>
    </row>
    <row r="270" spans="2:6" x14ac:dyDescent="0.35">
      <c r="B270" t="str">
        <f>CONCATENATE(Tabela13[[#This Row],[cliente_id]],Tabela13[[#This Row],[mes_ano]])</f>
        <v>AS2025-03</v>
      </c>
      <c r="C270" s="5" t="s">
        <v>60</v>
      </c>
      <c r="D270" s="5" t="s">
        <v>88</v>
      </c>
      <c r="E270" s="6">
        <v>5240</v>
      </c>
      <c r="F270" s="6">
        <v>4101.4399999999996</v>
      </c>
    </row>
    <row r="271" spans="2:6" x14ac:dyDescent="0.35">
      <c r="B271" t="str">
        <f>CONCATENATE(Tabela13[[#This Row],[cliente_id]],Tabela13[[#This Row],[mes_ano]])</f>
        <v>AS2025-04</v>
      </c>
      <c r="C271" s="5" t="s">
        <v>60</v>
      </c>
      <c r="D271" s="5" t="s">
        <v>68</v>
      </c>
      <c r="E271" s="6">
        <v>4200</v>
      </c>
      <c r="F271" s="6">
        <v>2197.66</v>
      </c>
    </row>
    <row r="272" spans="2:6" x14ac:dyDescent="0.35">
      <c r="B272" t="str">
        <f>CONCATENATE(Tabela13[[#This Row],[cliente_id]],Tabela13[[#This Row],[mes_ano]])</f>
        <v>AS2025-05</v>
      </c>
      <c r="C272" s="5" t="s">
        <v>60</v>
      </c>
      <c r="D272" s="5" t="s">
        <v>69</v>
      </c>
      <c r="E272" s="6">
        <v>27942</v>
      </c>
      <c r="F272" s="6">
        <v>19425.04</v>
      </c>
    </row>
    <row r="273" spans="2:6" x14ac:dyDescent="0.35">
      <c r="B273" t="str">
        <f>CONCATENATE(Tabela13[[#This Row],[cliente_id]],Tabela13[[#This Row],[mes_ano]])</f>
        <v>AT2024-12</v>
      </c>
      <c r="C273" s="5" t="s">
        <v>61</v>
      </c>
      <c r="D273" s="5" t="s">
        <v>6</v>
      </c>
      <c r="E273" s="6">
        <v>37061</v>
      </c>
      <c r="F273" s="6">
        <v>22688.76</v>
      </c>
    </row>
    <row r="274" spans="2:6" x14ac:dyDescent="0.35">
      <c r="B274" t="str">
        <f>CONCATENATE(Tabela13[[#This Row],[cliente_id]],Tabela13[[#This Row],[mes_ano]])</f>
        <v>AT2025-01</v>
      </c>
      <c r="C274" s="5" t="s">
        <v>61</v>
      </c>
      <c r="D274" s="5" t="s">
        <v>66</v>
      </c>
      <c r="E274" s="6">
        <v>22830</v>
      </c>
      <c r="F274" s="6">
        <v>15899.88</v>
      </c>
    </row>
    <row r="275" spans="2:6" x14ac:dyDescent="0.35">
      <c r="B275" t="str">
        <f>CONCATENATE(Tabela13[[#This Row],[cliente_id]],Tabela13[[#This Row],[mes_ano]])</f>
        <v>AT2025-02</v>
      </c>
      <c r="C275" s="5" t="s">
        <v>61</v>
      </c>
      <c r="D275" s="5" t="s">
        <v>67</v>
      </c>
      <c r="E275" s="6">
        <v>14502</v>
      </c>
      <c r="F275" s="6">
        <v>8504.81</v>
      </c>
    </row>
    <row r="276" spans="2:6" x14ac:dyDescent="0.35">
      <c r="B276" t="str">
        <f>CONCATENATE(Tabela13[[#This Row],[cliente_id]],Tabela13[[#This Row],[mes_ano]])</f>
        <v>AT2025-03</v>
      </c>
      <c r="C276" s="5" t="s">
        <v>61</v>
      </c>
      <c r="D276" s="5" t="s">
        <v>88</v>
      </c>
      <c r="E276" s="6">
        <v>18401</v>
      </c>
      <c r="F276" s="6">
        <v>14365.3</v>
      </c>
    </row>
    <row r="277" spans="2:6" x14ac:dyDescent="0.35">
      <c r="B277" t="str">
        <f>CONCATENATE(Tabela13[[#This Row],[cliente_id]],Tabela13[[#This Row],[mes_ano]])</f>
        <v>AT2025-04</v>
      </c>
      <c r="C277" s="5" t="s">
        <v>61</v>
      </c>
      <c r="D277" s="5" t="s">
        <v>68</v>
      </c>
      <c r="E277" s="6">
        <v>28430</v>
      </c>
      <c r="F277" s="6">
        <v>18025.03</v>
      </c>
    </row>
    <row r="278" spans="2:6" x14ac:dyDescent="0.35">
      <c r="B278" t="str">
        <f>CONCATENATE(Tabela13[[#This Row],[cliente_id]],Tabela13[[#This Row],[mes_ano]])</f>
        <v>AT2025-05</v>
      </c>
      <c r="C278" s="5" t="s">
        <v>61</v>
      </c>
      <c r="D278" s="5" t="s">
        <v>69</v>
      </c>
      <c r="E278" s="6">
        <v>48041</v>
      </c>
      <c r="F278" s="6">
        <v>34255.050000000003</v>
      </c>
    </row>
    <row r="279" spans="2:6" x14ac:dyDescent="0.35">
      <c r="B279" t="str">
        <f>CONCATENATE(Tabela13[[#This Row],[cliente_id]],Tabela13[[#This Row],[mes_ano]])</f>
        <v>AU2024-12</v>
      </c>
      <c r="C279" s="5" t="s">
        <v>62</v>
      </c>
      <c r="D279" s="5" t="s">
        <v>6</v>
      </c>
      <c r="E279" s="6">
        <v>17706</v>
      </c>
      <c r="F279" s="6">
        <v>9334.02</v>
      </c>
    </row>
    <row r="280" spans="2:6" x14ac:dyDescent="0.35">
      <c r="B280" t="str">
        <f>CONCATENATE(Tabela13[[#This Row],[cliente_id]],Tabela13[[#This Row],[mes_ano]])</f>
        <v>AU2025-01</v>
      </c>
      <c r="C280" s="5" t="s">
        <v>62</v>
      </c>
      <c r="D280" s="5" t="s">
        <v>66</v>
      </c>
      <c r="E280" s="6">
        <v>10860</v>
      </c>
      <c r="F280" s="6">
        <v>6655.81</v>
      </c>
    </row>
    <row r="281" spans="2:6" x14ac:dyDescent="0.35">
      <c r="B281" t="str">
        <f>CONCATENATE(Tabela13[[#This Row],[cliente_id]],Tabela13[[#This Row],[mes_ano]])</f>
        <v>AU2025-02</v>
      </c>
      <c r="C281" s="5" t="s">
        <v>62</v>
      </c>
      <c r="D281" s="5" t="s">
        <v>67</v>
      </c>
      <c r="E281" s="6">
        <v>34348</v>
      </c>
      <c r="F281" s="6">
        <v>18815.189999999999</v>
      </c>
    </row>
    <row r="282" spans="2:6" x14ac:dyDescent="0.35">
      <c r="B282" t="str">
        <f>CONCATENATE(Tabela13[[#This Row],[cliente_id]],Tabela13[[#This Row],[mes_ano]])</f>
        <v>AU2025-03</v>
      </c>
      <c r="C282" s="5" t="s">
        <v>62</v>
      </c>
      <c r="D282" s="5" t="s">
        <v>88</v>
      </c>
      <c r="E282" s="6">
        <v>7197</v>
      </c>
      <c r="F282" s="6">
        <v>3800.67</v>
      </c>
    </row>
    <row r="283" spans="2:6" x14ac:dyDescent="0.35">
      <c r="B283" t="str">
        <f>CONCATENATE(Tabela13[[#This Row],[cliente_id]],Tabela13[[#This Row],[mes_ano]])</f>
        <v>AU2025-04</v>
      </c>
      <c r="C283" s="5" t="s">
        <v>62</v>
      </c>
      <c r="D283" s="5" t="s">
        <v>68</v>
      </c>
      <c r="E283" s="6">
        <v>28447</v>
      </c>
      <c r="F283" s="6">
        <v>15127.73</v>
      </c>
    </row>
    <row r="284" spans="2:6" x14ac:dyDescent="0.35">
      <c r="B284" t="str">
        <f>CONCATENATE(Tabela13[[#This Row],[cliente_id]],Tabela13[[#This Row],[mes_ano]])</f>
        <v>AU2025-05</v>
      </c>
      <c r="C284" s="5" t="s">
        <v>62</v>
      </c>
      <c r="D284" s="5" t="s">
        <v>69</v>
      </c>
      <c r="E284" s="6">
        <v>8571</v>
      </c>
      <c r="F284" s="6">
        <v>5522.46</v>
      </c>
    </row>
    <row r="285" spans="2:6" x14ac:dyDescent="0.35">
      <c r="B285" t="str">
        <f>CONCATENATE(Tabela13[[#This Row],[cliente_id]],Tabela13[[#This Row],[mes_ano]])</f>
        <v>AV2024-12</v>
      </c>
      <c r="C285" s="5" t="s">
        <v>63</v>
      </c>
      <c r="D285" s="5" t="s">
        <v>6</v>
      </c>
      <c r="E285" s="6">
        <v>21985</v>
      </c>
      <c r="F285" s="6">
        <v>15873.3</v>
      </c>
    </row>
    <row r="286" spans="2:6" x14ac:dyDescent="0.35">
      <c r="B286" t="str">
        <f>CONCATENATE(Tabela13[[#This Row],[cliente_id]],Tabela13[[#This Row],[mes_ano]])</f>
        <v>AV2025-01</v>
      </c>
      <c r="C286" s="5" t="s">
        <v>63</v>
      </c>
      <c r="D286" s="5" t="s">
        <v>66</v>
      </c>
      <c r="E286" s="6">
        <v>25487</v>
      </c>
      <c r="F286" s="6">
        <v>19713.95</v>
      </c>
    </row>
    <row r="287" spans="2:6" x14ac:dyDescent="0.35">
      <c r="B287" t="str">
        <f>CONCATENATE(Tabela13[[#This Row],[cliente_id]],Tabela13[[#This Row],[mes_ano]])</f>
        <v>AV2025-02</v>
      </c>
      <c r="C287" s="5" t="s">
        <v>63</v>
      </c>
      <c r="D287" s="5" t="s">
        <v>67</v>
      </c>
      <c r="E287" s="6">
        <v>8131</v>
      </c>
      <c r="F287" s="6">
        <v>5653</v>
      </c>
    </row>
    <row r="288" spans="2:6" x14ac:dyDescent="0.35">
      <c r="B288" t="str">
        <f>CONCATENATE(Tabela13[[#This Row],[cliente_id]],Tabela13[[#This Row],[mes_ano]])</f>
        <v>AV2025-03</v>
      </c>
      <c r="C288" s="5" t="s">
        <v>63</v>
      </c>
      <c r="D288" s="5" t="s">
        <v>88</v>
      </c>
      <c r="E288" s="6">
        <v>17900</v>
      </c>
      <c r="F288" s="6">
        <v>13087.75</v>
      </c>
    </row>
    <row r="289" spans="2:6" x14ac:dyDescent="0.35">
      <c r="B289" t="str">
        <f>CONCATENATE(Tabela13[[#This Row],[cliente_id]],Tabela13[[#This Row],[mes_ano]])</f>
        <v>AV2025-04</v>
      </c>
      <c r="C289" s="5" t="s">
        <v>63</v>
      </c>
      <c r="D289" s="5" t="s">
        <v>68</v>
      </c>
      <c r="E289" s="6">
        <v>48114</v>
      </c>
      <c r="F289" s="6">
        <v>29107.4</v>
      </c>
    </row>
    <row r="290" spans="2:6" x14ac:dyDescent="0.35">
      <c r="B290" t="str">
        <f>CONCATENATE(Tabela13[[#This Row],[cliente_id]],Tabela13[[#This Row],[mes_ano]])</f>
        <v>AV2025-05</v>
      </c>
      <c r="C290" s="5" t="s">
        <v>63</v>
      </c>
      <c r="D290" s="5" t="s">
        <v>69</v>
      </c>
      <c r="E290" s="6">
        <v>38836</v>
      </c>
      <c r="F290" s="6">
        <v>24110.84</v>
      </c>
    </row>
    <row r="291" spans="2:6" x14ac:dyDescent="0.35">
      <c r="B291" t="str">
        <f>CONCATENATE(Tabela13[[#This Row],[cliente_id]],Tabela13[[#This Row],[mes_ano]])</f>
        <v>AX2024-12</v>
      </c>
      <c r="C291" s="5" t="s">
        <v>64</v>
      </c>
      <c r="D291" s="5" t="s">
        <v>6</v>
      </c>
      <c r="E291" s="6">
        <v>3968</v>
      </c>
      <c r="F291" s="6">
        <v>2463.09</v>
      </c>
    </row>
    <row r="292" spans="2:6" x14ac:dyDescent="0.35">
      <c r="B292" t="str">
        <f>CONCATENATE(Tabela13[[#This Row],[cliente_id]],Tabela13[[#This Row],[mes_ano]])</f>
        <v>AX2025-01</v>
      </c>
      <c r="C292" s="5" t="s">
        <v>64</v>
      </c>
      <c r="D292" s="5" t="s">
        <v>66</v>
      </c>
      <c r="E292" s="6">
        <v>31885</v>
      </c>
      <c r="F292" s="6">
        <v>22202.95</v>
      </c>
    </row>
    <row r="293" spans="2:6" x14ac:dyDescent="0.35">
      <c r="B293" t="str">
        <f>CONCATENATE(Tabela13[[#This Row],[cliente_id]],Tabela13[[#This Row],[mes_ano]])</f>
        <v>AX2025-02</v>
      </c>
      <c r="C293" s="5" t="s">
        <v>64</v>
      </c>
      <c r="D293" s="5" t="s">
        <v>67</v>
      </c>
      <c r="E293" s="6">
        <v>8973</v>
      </c>
      <c r="F293" s="6">
        <v>5141.21</v>
      </c>
    </row>
    <row r="294" spans="2:6" x14ac:dyDescent="0.35">
      <c r="B294" t="str">
        <f>CONCATENATE(Tabela13[[#This Row],[cliente_id]],Tabela13[[#This Row],[mes_ano]])</f>
        <v>AX2025-03</v>
      </c>
      <c r="C294" s="5" t="s">
        <v>64</v>
      </c>
      <c r="D294" s="5" t="s">
        <v>88</v>
      </c>
      <c r="E294" s="6">
        <v>28907</v>
      </c>
      <c r="F294" s="6">
        <v>14488.75</v>
      </c>
    </row>
    <row r="295" spans="2:6" x14ac:dyDescent="0.35">
      <c r="B295" t="str">
        <f>CONCATENATE(Tabela13[[#This Row],[cliente_id]],Tabela13[[#This Row],[mes_ano]])</f>
        <v>AX2025-04</v>
      </c>
      <c r="C295" s="5" t="s">
        <v>64</v>
      </c>
      <c r="D295" s="5" t="s">
        <v>68</v>
      </c>
      <c r="E295" s="6">
        <v>3946</v>
      </c>
      <c r="F295" s="6">
        <v>1985.3</v>
      </c>
    </row>
    <row r="296" spans="2:6" x14ac:dyDescent="0.35">
      <c r="B296" t="str">
        <f>CONCATENATE(Tabela13[[#This Row],[cliente_id]],Tabela13[[#This Row],[mes_ano]])</f>
        <v>AX2025-05</v>
      </c>
      <c r="C296" s="5" t="s">
        <v>64</v>
      </c>
      <c r="D296" s="5" t="s">
        <v>69</v>
      </c>
      <c r="E296" s="6">
        <v>2507</v>
      </c>
      <c r="F296" s="6">
        <v>1838.73</v>
      </c>
    </row>
    <row r="297" spans="2:6" x14ac:dyDescent="0.35">
      <c r="B297" t="str">
        <f>CONCATENATE(Tabela13[[#This Row],[cliente_id]],Tabela13[[#This Row],[mes_ano]])</f>
        <v>AW2024-12</v>
      </c>
      <c r="C297" s="5" t="s">
        <v>65</v>
      </c>
      <c r="D297" s="5" t="s">
        <v>6</v>
      </c>
      <c r="E297" s="6">
        <v>35366</v>
      </c>
      <c r="F297" s="6">
        <v>22076.74</v>
      </c>
    </row>
    <row r="298" spans="2:6" x14ac:dyDescent="0.35">
      <c r="B298" t="str">
        <f>CONCATENATE(Tabela13[[#This Row],[cliente_id]],Tabela13[[#This Row],[mes_ano]])</f>
        <v>AW2025-01</v>
      </c>
      <c r="C298" s="5" t="s">
        <v>65</v>
      </c>
      <c r="D298" s="5" t="s">
        <v>66</v>
      </c>
      <c r="E298" s="6">
        <v>19951</v>
      </c>
      <c r="F298" s="6">
        <v>14062.76</v>
      </c>
    </row>
    <row r="299" spans="2:6" x14ac:dyDescent="0.35">
      <c r="B299" t="str">
        <f>CONCATENATE(Tabela13[[#This Row],[cliente_id]],Tabela13[[#This Row],[mes_ano]])</f>
        <v>AW2025-02</v>
      </c>
      <c r="C299" s="5" t="s">
        <v>65</v>
      </c>
      <c r="D299" s="5" t="s">
        <v>67</v>
      </c>
      <c r="E299" s="6">
        <v>41093</v>
      </c>
      <c r="F299" s="6">
        <v>32604.77</v>
      </c>
    </row>
    <row r="300" spans="2:6" x14ac:dyDescent="0.35">
      <c r="B300" t="str">
        <f>CONCATENATE(Tabela13[[#This Row],[cliente_id]],Tabela13[[#This Row],[mes_ano]])</f>
        <v>AW2025-03</v>
      </c>
      <c r="C300" s="5" t="s">
        <v>65</v>
      </c>
      <c r="D300" s="5" t="s">
        <v>88</v>
      </c>
      <c r="E300" s="6">
        <v>11732</v>
      </c>
      <c r="F300" s="6">
        <v>7162.43</v>
      </c>
    </row>
    <row r="301" spans="2:6" x14ac:dyDescent="0.35">
      <c r="B301" t="str">
        <f>CONCATENATE(Tabela13[[#This Row],[cliente_id]],Tabela13[[#This Row],[mes_ano]])</f>
        <v>AW2025-04</v>
      </c>
      <c r="C301" s="5" t="s">
        <v>65</v>
      </c>
      <c r="D301" s="5" t="s">
        <v>68</v>
      </c>
      <c r="E301" s="6">
        <v>5887</v>
      </c>
      <c r="F301" s="6">
        <v>3610.04</v>
      </c>
    </row>
    <row r="302" spans="2:6" x14ac:dyDescent="0.35">
      <c r="B302" t="str">
        <f>CONCATENATE(Tabela13[[#This Row],[cliente_id]],Tabela13[[#This Row],[mes_ano]])</f>
        <v>AW2025-05</v>
      </c>
      <c r="C302" s="5" t="s">
        <v>65</v>
      </c>
      <c r="D302" s="5" t="s">
        <v>69</v>
      </c>
      <c r="E302" s="6">
        <v>46600</v>
      </c>
      <c r="F302" s="6">
        <v>36548.82</v>
      </c>
    </row>
  </sheetData>
  <pageMargins left="0.7" right="0.7" top="0.75" bottom="0.75" header="0.3" footer="0.3"/>
  <headerFooter>
    <oddFooter>&amp;L_x000D_&amp;1#&amp;"Calibri"&amp;7&amp;K000000 ***Este documento está clasificado como USO INTERNO por TELEFÓNICA.
***This document is classified as INTERNAL USE by TELEFÓNICA.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302"/>
  <sheetViews>
    <sheetView showGridLines="0" workbookViewId="0">
      <selection activeCell="B3" sqref="B3"/>
    </sheetView>
  </sheetViews>
  <sheetFormatPr defaultRowHeight="14.5" x14ac:dyDescent="0.35"/>
  <cols>
    <col min="1" max="1" width="10.453125" bestFit="1" customWidth="1"/>
    <col min="2" max="2" width="12.1796875" style="5" customWidth="1"/>
    <col min="3" max="3" width="13.81640625" style="5" customWidth="1"/>
    <col min="4" max="4" width="11.08984375" style="5" customWidth="1"/>
    <col min="5" max="5" width="11.7265625" style="5" customWidth="1"/>
    <col min="7" max="7" width="19.54296875" bestFit="1" customWidth="1"/>
    <col min="8" max="8" width="11.54296875" bestFit="1" customWidth="1"/>
    <col min="9" max="9" width="13.26953125" bestFit="1" customWidth="1"/>
  </cols>
  <sheetData>
    <row r="2" spans="1:10" x14ac:dyDescent="0.35">
      <c r="A2" t="s">
        <v>90</v>
      </c>
      <c r="B2" s="5" t="s">
        <v>12</v>
      </c>
      <c r="C2" s="5" t="s">
        <v>15</v>
      </c>
      <c r="D2" s="5" t="s">
        <v>7</v>
      </c>
      <c r="E2" s="6" t="s">
        <v>5</v>
      </c>
    </row>
    <row r="3" spans="1:10" x14ac:dyDescent="0.35">
      <c r="A3" t="str">
        <f>CONCATENATE(B3,C3)</f>
        <v>A2024-12</v>
      </c>
      <c r="B3" s="5" t="s">
        <v>16</v>
      </c>
      <c r="C3" s="5" t="s">
        <v>6</v>
      </c>
      <c r="D3" s="5" t="s">
        <v>8</v>
      </c>
      <c r="E3" s="6">
        <v>21231</v>
      </c>
    </row>
    <row r="4" spans="1:10" x14ac:dyDescent="0.35">
      <c r="A4" t="str">
        <f t="shared" ref="A4:A67" si="0">CONCATENATE(B4,C4)</f>
        <v>A2025-01</v>
      </c>
      <c r="B4" s="5" t="s">
        <v>16</v>
      </c>
      <c r="C4" s="5" t="s">
        <v>66</v>
      </c>
      <c r="D4" s="5" t="s">
        <v>9</v>
      </c>
      <c r="E4" s="6">
        <v>35273</v>
      </c>
    </row>
    <row r="5" spans="1:10" x14ac:dyDescent="0.35">
      <c r="A5" t="str">
        <f t="shared" si="0"/>
        <v>A2025-02</v>
      </c>
      <c r="B5" s="5" t="s">
        <v>16</v>
      </c>
      <c r="C5" s="5" t="s">
        <v>67</v>
      </c>
      <c r="D5" s="5" t="s">
        <v>9</v>
      </c>
      <c r="E5" s="6">
        <v>12897</v>
      </c>
    </row>
    <row r="6" spans="1:10" x14ac:dyDescent="0.35">
      <c r="A6" t="str">
        <f t="shared" si="0"/>
        <v>A2025-03</v>
      </c>
      <c r="B6" s="5" t="s">
        <v>16</v>
      </c>
      <c r="C6" s="5" t="s">
        <v>88</v>
      </c>
      <c r="D6" s="5" t="s">
        <v>9</v>
      </c>
      <c r="E6" s="6">
        <v>29303</v>
      </c>
      <c r="J6" s="3"/>
    </row>
    <row r="7" spans="1:10" x14ac:dyDescent="0.35">
      <c r="A7" t="str">
        <f t="shared" si="0"/>
        <v>A2025-04</v>
      </c>
      <c r="B7" s="5" t="s">
        <v>16</v>
      </c>
      <c r="C7" s="5" t="s">
        <v>68</v>
      </c>
      <c r="D7" s="5" t="s">
        <v>9</v>
      </c>
      <c r="E7" s="6">
        <v>42192</v>
      </c>
      <c r="J7" s="3"/>
    </row>
    <row r="8" spans="1:10" x14ac:dyDescent="0.35">
      <c r="A8" t="str">
        <f t="shared" si="0"/>
        <v>A2025-05</v>
      </c>
      <c r="B8" s="5" t="s">
        <v>16</v>
      </c>
      <c r="C8" s="5" t="s">
        <v>69</v>
      </c>
      <c r="D8" s="5" t="s">
        <v>9</v>
      </c>
      <c r="E8" s="6">
        <v>13155</v>
      </c>
      <c r="J8" s="3"/>
    </row>
    <row r="9" spans="1:10" x14ac:dyDescent="0.35">
      <c r="A9" t="str">
        <f t="shared" si="0"/>
        <v>B2024-12</v>
      </c>
      <c r="B9" s="5" t="s">
        <v>17</v>
      </c>
      <c r="C9" s="5" t="s">
        <v>6</v>
      </c>
      <c r="D9" s="5" t="s">
        <v>9</v>
      </c>
      <c r="E9" s="6">
        <v>39211</v>
      </c>
      <c r="J9" s="3"/>
    </row>
    <row r="10" spans="1:10" x14ac:dyDescent="0.35">
      <c r="A10" t="str">
        <f t="shared" si="0"/>
        <v>B2025-01</v>
      </c>
      <c r="B10" s="5" t="s">
        <v>17</v>
      </c>
      <c r="C10" s="5" t="s">
        <v>66</v>
      </c>
      <c r="D10" s="5" t="s">
        <v>9</v>
      </c>
      <c r="E10" s="6">
        <v>26027</v>
      </c>
      <c r="J10" s="3"/>
    </row>
    <row r="11" spans="1:10" x14ac:dyDescent="0.35">
      <c r="A11" t="str">
        <f t="shared" si="0"/>
        <v>B2025-02</v>
      </c>
      <c r="B11" s="5" t="s">
        <v>17</v>
      </c>
      <c r="C11" s="5" t="s">
        <v>67</v>
      </c>
      <c r="D11" s="5" t="s">
        <v>9</v>
      </c>
      <c r="E11" s="6">
        <v>35119</v>
      </c>
      <c r="J11" s="3"/>
    </row>
    <row r="12" spans="1:10" x14ac:dyDescent="0.35">
      <c r="A12" t="str">
        <f t="shared" si="0"/>
        <v>B2025-03</v>
      </c>
      <c r="B12" s="5" t="s">
        <v>17</v>
      </c>
      <c r="C12" s="5" t="s">
        <v>88</v>
      </c>
      <c r="D12" s="5" t="s">
        <v>9</v>
      </c>
      <c r="E12" s="6">
        <v>21363</v>
      </c>
      <c r="J12" s="3"/>
    </row>
    <row r="13" spans="1:10" x14ac:dyDescent="0.35">
      <c r="A13" t="str">
        <f t="shared" si="0"/>
        <v>B2025-04</v>
      </c>
      <c r="B13" s="5" t="s">
        <v>17</v>
      </c>
      <c r="C13" s="5" t="s">
        <v>68</v>
      </c>
      <c r="D13" s="5" t="s">
        <v>8</v>
      </c>
      <c r="E13" s="6">
        <v>7179</v>
      </c>
    </row>
    <row r="14" spans="1:10" x14ac:dyDescent="0.35">
      <c r="A14" t="str">
        <f t="shared" si="0"/>
        <v>B2025-05</v>
      </c>
      <c r="B14" s="5" t="s">
        <v>17</v>
      </c>
      <c r="C14" s="5" t="s">
        <v>69</v>
      </c>
      <c r="D14" s="5" t="s">
        <v>9</v>
      </c>
      <c r="E14" s="6">
        <v>26815</v>
      </c>
    </row>
    <row r="15" spans="1:10" x14ac:dyDescent="0.35">
      <c r="A15" t="str">
        <f t="shared" si="0"/>
        <v>C2024-12</v>
      </c>
      <c r="B15" s="5" t="s">
        <v>18</v>
      </c>
      <c r="C15" s="5" t="s">
        <v>6</v>
      </c>
      <c r="D15" s="5" t="s">
        <v>9</v>
      </c>
      <c r="E15" s="6">
        <v>15923</v>
      </c>
    </row>
    <row r="16" spans="1:10" x14ac:dyDescent="0.35">
      <c r="A16" t="str">
        <f t="shared" si="0"/>
        <v>C2025-01</v>
      </c>
      <c r="B16" s="5" t="s">
        <v>18</v>
      </c>
      <c r="C16" s="5" t="s">
        <v>66</v>
      </c>
      <c r="D16" s="5" t="s">
        <v>9</v>
      </c>
      <c r="E16" s="6">
        <v>4922</v>
      </c>
    </row>
    <row r="17" spans="1:5" x14ac:dyDescent="0.35">
      <c r="A17" t="str">
        <f t="shared" si="0"/>
        <v>C2025-02</v>
      </c>
      <c r="B17" s="5" t="s">
        <v>18</v>
      </c>
      <c r="C17" s="5" t="s">
        <v>67</v>
      </c>
      <c r="D17" s="5" t="s">
        <v>9</v>
      </c>
      <c r="E17" s="6">
        <v>46087</v>
      </c>
    </row>
    <row r="18" spans="1:5" x14ac:dyDescent="0.35">
      <c r="A18" t="str">
        <f t="shared" si="0"/>
        <v>C2025-03</v>
      </c>
      <c r="B18" s="5" t="s">
        <v>18</v>
      </c>
      <c r="C18" s="5" t="s">
        <v>88</v>
      </c>
      <c r="D18" s="5" t="s">
        <v>9</v>
      </c>
      <c r="E18" s="6">
        <v>24934</v>
      </c>
    </row>
    <row r="19" spans="1:5" x14ac:dyDescent="0.35">
      <c r="A19" t="str">
        <f t="shared" si="0"/>
        <v>C2025-04</v>
      </c>
      <c r="B19" s="5" t="s">
        <v>18</v>
      </c>
      <c r="C19" s="5" t="s">
        <v>68</v>
      </c>
      <c r="D19" s="5" t="s">
        <v>9</v>
      </c>
      <c r="E19" s="6">
        <v>10325</v>
      </c>
    </row>
    <row r="20" spans="1:5" x14ac:dyDescent="0.35">
      <c r="A20" t="str">
        <f t="shared" si="0"/>
        <v>C2025-05</v>
      </c>
      <c r="B20" s="5" t="s">
        <v>18</v>
      </c>
      <c r="C20" s="5" t="s">
        <v>69</v>
      </c>
      <c r="D20" s="5" t="s">
        <v>9</v>
      </c>
      <c r="E20" s="6">
        <v>15620</v>
      </c>
    </row>
    <row r="21" spans="1:5" x14ac:dyDescent="0.35">
      <c r="A21" t="str">
        <f t="shared" si="0"/>
        <v>D2024-12</v>
      </c>
      <c r="B21" s="5" t="s">
        <v>19</v>
      </c>
      <c r="C21" s="5" t="s">
        <v>6</v>
      </c>
      <c r="D21" s="5" t="s">
        <v>9</v>
      </c>
      <c r="E21" s="6">
        <v>14806</v>
      </c>
    </row>
    <row r="22" spans="1:5" x14ac:dyDescent="0.35">
      <c r="A22" t="str">
        <f t="shared" si="0"/>
        <v>D2025-01</v>
      </c>
      <c r="B22" s="5" t="s">
        <v>19</v>
      </c>
      <c r="C22" s="5" t="s">
        <v>66</v>
      </c>
      <c r="D22" s="5" t="s">
        <v>8</v>
      </c>
      <c r="E22" s="6">
        <v>38204</v>
      </c>
    </row>
    <row r="23" spans="1:5" x14ac:dyDescent="0.35">
      <c r="A23" t="str">
        <f t="shared" si="0"/>
        <v>D2025-02</v>
      </c>
      <c r="B23" s="5" t="s">
        <v>19</v>
      </c>
      <c r="C23" s="5" t="s">
        <v>67</v>
      </c>
      <c r="D23" s="5" t="s">
        <v>9</v>
      </c>
      <c r="E23" s="6">
        <v>45343</v>
      </c>
    </row>
    <row r="24" spans="1:5" x14ac:dyDescent="0.35">
      <c r="A24" t="str">
        <f t="shared" si="0"/>
        <v>D2025-03</v>
      </c>
      <c r="B24" s="5" t="s">
        <v>19</v>
      </c>
      <c r="C24" s="5" t="s">
        <v>88</v>
      </c>
      <c r="D24" s="5" t="s">
        <v>9</v>
      </c>
      <c r="E24" s="6">
        <v>4530</v>
      </c>
    </row>
    <row r="25" spans="1:5" x14ac:dyDescent="0.35">
      <c r="A25" t="str">
        <f t="shared" si="0"/>
        <v>D2025-04</v>
      </c>
      <c r="B25" s="5" t="s">
        <v>19</v>
      </c>
      <c r="C25" s="5" t="s">
        <v>68</v>
      </c>
      <c r="D25" s="5" t="s">
        <v>9</v>
      </c>
      <c r="E25" s="6">
        <v>37571</v>
      </c>
    </row>
    <row r="26" spans="1:5" x14ac:dyDescent="0.35">
      <c r="A26" t="str">
        <f t="shared" si="0"/>
        <v>D2025-05</v>
      </c>
      <c r="B26" s="5" t="s">
        <v>19</v>
      </c>
      <c r="C26" s="5" t="s">
        <v>69</v>
      </c>
      <c r="D26" s="5" t="s">
        <v>8</v>
      </c>
      <c r="E26" s="6">
        <v>4056</v>
      </c>
    </row>
    <row r="27" spans="1:5" x14ac:dyDescent="0.35">
      <c r="A27" t="str">
        <f t="shared" si="0"/>
        <v>E2024-12</v>
      </c>
      <c r="B27" s="5" t="s">
        <v>20</v>
      </c>
      <c r="C27" s="5" t="s">
        <v>6</v>
      </c>
      <c r="D27" s="5" t="s">
        <v>9</v>
      </c>
      <c r="E27" s="6">
        <v>2657</v>
      </c>
    </row>
    <row r="28" spans="1:5" x14ac:dyDescent="0.35">
      <c r="A28" t="str">
        <f t="shared" si="0"/>
        <v>E2025-01</v>
      </c>
      <c r="B28" s="5" t="s">
        <v>20</v>
      </c>
      <c r="C28" s="5" t="s">
        <v>66</v>
      </c>
      <c r="D28" s="5" t="s">
        <v>9</v>
      </c>
      <c r="E28" s="6">
        <v>11565</v>
      </c>
    </row>
    <row r="29" spans="1:5" x14ac:dyDescent="0.35">
      <c r="A29" t="str">
        <f t="shared" si="0"/>
        <v>E2025-02</v>
      </c>
      <c r="B29" s="5" t="s">
        <v>20</v>
      </c>
      <c r="C29" s="5" t="s">
        <v>67</v>
      </c>
      <c r="D29" s="5" t="s">
        <v>8</v>
      </c>
      <c r="E29" s="6">
        <v>36553</v>
      </c>
    </row>
    <row r="30" spans="1:5" x14ac:dyDescent="0.35">
      <c r="A30" t="str">
        <f t="shared" si="0"/>
        <v>E2025-03</v>
      </c>
      <c r="B30" s="5" t="s">
        <v>20</v>
      </c>
      <c r="C30" s="5" t="s">
        <v>88</v>
      </c>
      <c r="D30" s="5" t="s">
        <v>9</v>
      </c>
      <c r="E30" s="6">
        <v>28310</v>
      </c>
    </row>
    <row r="31" spans="1:5" x14ac:dyDescent="0.35">
      <c r="A31" t="str">
        <f t="shared" si="0"/>
        <v>E2025-04</v>
      </c>
      <c r="B31" s="5" t="s">
        <v>20</v>
      </c>
      <c r="C31" s="5" t="s">
        <v>68</v>
      </c>
      <c r="D31" s="5" t="s">
        <v>9</v>
      </c>
      <c r="E31" s="6">
        <v>46096</v>
      </c>
    </row>
    <row r="32" spans="1:5" x14ac:dyDescent="0.35">
      <c r="A32" t="str">
        <f t="shared" si="0"/>
        <v>E2025-05</v>
      </c>
      <c r="B32" s="5" t="s">
        <v>20</v>
      </c>
      <c r="C32" s="5" t="s">
        <v>69</v>
      </c>
      <c r="D32" s="5" t="s">
        <v>9</v>
      </c>
      <c r="E32" s="6">
        <v>43742</v>
      </c>
    </row>
    <row r="33" spans="1:5" x14ac:dyDescent="0.35">
      <c r="A33" t="str">
        <f t="shared" si="0"/>
        <v>F2024-12</v>
      </c>
      <c r="B33" s="5" t="s">
        <v>21</v>
      </c>
      <c r="C33" s="5" t="s">
        <v>6</v>
      </c>
      <c r="D33" s="5" t="s">
        <v>9</v>
      </c>
      <c r="E33" s="6">
        <v>30245</v>
      </c>
    </row>
    <row r="34" spans="1:5" x14ac:dyDescent="0.35">
      <c r="A34" t="str">
        <f t="shared" si="0"/>
        <v>F2025-01</v>
      </c>
      <c r="B34" s="5" t="s">
        <v>21</v>
      </c>
      <c r="C34" s="5" t="s">
        <v>66</v>
      </c>
      <c r="D34" s="5" t="s">
        <v>9</v>
      </c>
      <c r="E34" s="6">
        <v>19225</v>
      </c>
    </row>
    <row r="35" spans="1:5" x14ac:dyDescent="0.35">
      <c r="A35" t="str">
        <f t="shared" si="0"/>
        <v>F2025-02</v>
      </c>
      <c r="B35" s="5" t="s">
        <v>21</v>
      </c>
      <c r="C35" s="5" t="s">
        <v>67</v>
      </c>
      <c r="D35" s="5" t="s">
        <v>9</v>
      </c>
      <c r="E35" s="6">
        <v>14920</v>
      </c>
    </row>
    <row r="36" spans="1:5" x14ac:dyDescent="0.35">
      <c r="A36" t="str">
        <f t="shared" si="0"/>
        <v>F2025-03</v>
      </c>
      <c r="B36" s="5" t="s">
        <v>21</v>
      </c>
      <c r="C36" s="5" t="s">
        <v>88</v>
      </c>
      <c r="D36" s="5" t="s">
        <v>9</v>
      </c>
      <c r="E36" s="6">
        <v>2898</v>
      </c>
    </row>
    <row r="37" spans="1:5" x14ac:dyDescent="0.35">
      <c r="A37" t="str">
        <f t="shared" si="0"/>
        <v>F2025-04</v>
      </c>
      <c r="B37" s="5" t="s">
        <v>21</v>
      </c>
      <c r="C37" s="5" t="s">
        <v>68</v>
      </c>
      <c r="D37" s="5" t="s">
        <v>8</v>
      </c>
      <c r="E37" s="6">
        <v>4717</v>
      </c>
    </row>
    <row r="38" spans="1:5" x14ac:dyDescent="0.35">
      <c r="A38" t="str">
        <f t="shared" si="0"/>
        <v>F2025-05</v>
      </c>
      <c r="B38" s="5" t="s">
        <v>21</v>
      </c>
      <c r="C38" s="5" t="s">
        <v>69</v>
      </c>
      <c r="D38" s="5" t="s">
        <v>9</v>
      </c>
      <c r="E38" s="6">
        <v>43205</v>
      </c>
    </row>
    <row r="39" spans="1:5" x14ac:dyDescent="0.35">
      <c r="A39" t="str">
        <f t="shared" si="0"/>
        <v>G2024-12</v>
      </c>
      <c r="B39" s="5" t="s">
        <v>22</v>
      </c>
      <c r="C39" s="5" t="s">
        <v>6</v>
      </c>
      <c r="D39" s="5" t="s">
        <v>8</v>
      </c>
      <c r="E39" s="6">
        <v>45635</v>
      </c>
    </row>
    <row r="40" spans="1:5" x14ac:dyDescent="0.35">
      <c r="A40" t="str">
        <f t="shared" si="0"/>
        <v>G2025-01</v>
      </c>
      <c r="B40" s="5" t="s">
        <v>22</v>
      </c>
      <c r="C40" s="5" t="s">
        <v>66</v>
      </c>
      <c r="D40" s="5" t="s">
        <v>9</v>
      </c>
      <c r="E40" s="6">
        <v>34170</v>
      </c>
    </row>
    <row r="41" spans="1:5" x14ac:dyDescent="0.35">
      <c r="A41" t="str">
        <f t="shared" si="0"/>
        <v>G2025-02</v>
      </c>
      <c r="B41" s="5" t="s">
        <v>22</v>
      </c>
      <c r="C41" s="5" t="s">
        <v>67</v>
      </c>
      <c r="D41" s="5" t="s">
        <v>9</v>
      </c>
      <c r="E41" s="6">
        <v>17007</v>
      </c>
    </row>
    <row r="42" spans="1:5" x14ac:dyDescent="0.35">
      <c r="A42" t="str">
        <f t="shared" si="0"/>
        <v>G2025-03</v>
      </c>
      <c r="B42" s="5" t="s">
        <v>22</v>
      </c>
      <c r="C42" s="5" t="s">
        <v>88</v>
      </c>
      <c r="D42" s="5" t="s">
        <v>9</v>
      </c>
      <c r="E42" s="6">
        <v>3752</v>
      </c>
    </row>
    <row r="43" spans="1:5" x14ac:dyDescent="0.35">
      <c r="A43" t="str">
        <f t="shared" si="0"/>
        <v>G2025-04</v>
      </c>
      <c r="B43" s="5" t="s">
        <v>22</v>
      </c>
      <c r="C43" s="5" t="s">
        <v>68</v>
      </c>
      <c r="D43" s="5" t="s">
        <v>9</v>
      </c>
      <c r="E43" s="6">
        <v>48439</v>
      </c>
    </row>
    <row r="44" spans="1:5" x14ac:dyDescent="0.35">
      <c r="A44" t="str">
        <f t="shared" si="0"/>
        <v>G2025-05</v>
      </c>
      <c r="B44" s="5" t="s">
        <v>22</v>
      </c>
      <c r="C44" s="5" t="s">
        <v>69</v>
      </c>
      <c r="D44" s="5" t="s">
        <v>8</v>
      </c>
      <c r="E44" s="6">
        <v>15933</v>
      </c>
    </row>
    <row r="45" spans="1:5" x14ac:dyDescent="0.35">
      <c r="A45" t="str">
        <f t="shared" si="0"/>
        <v>H2024-12</v>
      </c>
      <c r="B45" s="5" t="s">
        <v>23</v>
      </c>
      <c r="C45" s="5" t="s">
        <v>6</v>
      </c>
      <c r="D45" s="5" t="s">
        <v>9</v>
      </c>
      <c r="E45" s="6">
        <v>13988</v>
      </c>
    </row>
    <row r="46" spans="1:5" x14ac:dyDescent="0.35">
      <c r="A46" t="str">
        <f t="shared" si="0"/>
        <v>H2025-01</v>
      </c>
      <c r="B46" s="5" t="s">
        <v>23</v>
      </c>
      <c r="C46" s="5" t="s">
        <v>66</v>
      </c>
      <c r="D46" s="5" t="s">
        <v>9</v>
      </c>
      <c r="E46" s="6">
        <v>44154</v>
      </c>
    </row>
    <row r="47" spans="1:5" x14ac:dyDescent="0.35">
      <c r="A47" t="str">
        <f t="shared" si="0"/>
        <v>H2025-02</v>
      </c>
      <c r="B47" s="5" t="s">
        <v>23</v>
      </c>
      <c r="C47" s="5" t="s">
        <v>67</v>
      </c>
      <c r="D47" s="5" t="s">
        <v>8</v>
      </c>
      <c r="E47" s="6">
        <v>13742</v>
      </c>
    </row>
    <row r="48" spans="1:5" x14ac:dyDescent="0.35">
      <c r="A48" t="str">
        <f t="shared" si="0"/>
        <v>H2025-03</v>
      </c>
      <c r="B48" s="5" t="s">
        <v>23</v>
      </c>
      <c r="C48" s="5" t="s">
        <v>88</v>
      </c>
      <c r="D48" s="5" t="s">
        <v>9</v>
      </c>
      <c r="E48" s="6">
        <v>4330</v>
      </c>
    </row>
    <row r="49" spans="1:5" x14ac:dyDescent="0.35">
      <c r="A49" t="str">
        <f t="shared" si="0"/>
        <v>H2025-04</v>
      </c>
      <c r="B49" s="5" t="s">
        <v>23</v>
      </c>
      <c r="C49" s="5" t="s">
        <v>68</v>
      </c>
      <c r="D49" s="5" t="s">
        <v>9</v>
      </c>
      <c r="E49" s="6">
        <v>3283</v>
      </c>
    </row>
    <row r="50" spans="1:5" x14ac:dyDescent="0.35">
      <c r="A50" t="str">
        <f t="shared" si="0"/>
        <v>H2025-05</v>
      </c>
      <c r="B50" s="5" t="s">
        <v>23</v>
      </c>
      <c r="C50" s="5" t="s">
        <v>69</v>
      </c>
      <c r="D50" s="5" t="s">
        <v>9</v>
      </c>
      <c r="E50" s="6">
        <v>2099</v>
      </c>
    </row>
    <row r="51" spans="1:5" x14ac:dyDescent="0.35">
      <c r="A51" t="str">
        <f t="shared" si="0"/>
        <v>I2024-12</v>
      </c>
      <c r="B51" s="5" t="s">
        <v>24</v>
      </c>
      <c r="C51" s="5" t="s">
        <v>6</v>
      </c>
      <c r="D51" s="5" t="s">
        <v>8</v>
      </c>
      <c r="E51" s="6">
        <v>35899</v>
      </c>
    </row>
    <row r="52" spans="1:5" x14ac:dyDescent="0.35">
      <c r="A52" t="str">
        <f t="shared" si="0"/>
        <v>I2025-01</v>
      </c>
      <c r="B52" s="5" t="s">
        <v>24</v>
      </c>
      <c r="C52" s="5" t="s">
        <v>66</v>
      </c>
      <c r="D52" s="5" t="s">
        <v>8</v>
      </c>
      <c r="E52" s="6">
        <v>11979</v>
      </c>
    </row>
    <row r="53" spans="1:5" x14ac:dyDescent="0.35">
      <c r="A53" t="str">
        <f t="shared" si="0"/>
        <v>I2025-02</v>
      </c>
      <c r="B53" s="5" t="s">
        <v>24</v>
      </c>
      <c r="C53" s="5" t="s">
        <v>67</v>
      </c>
      <c r="D53" s="5" t="s">
        <v>8</v>
      </c>
      <c r="E53" s="6">
        <v>30856</v>
      </c>
    </row>
    <row r="54" spans="1:5" x14ac:dyDescent="0.35">
      <c r="A54" t="str">
        <f t="shared" si="0"/>
        <v>I2025-03</v>
      </c>
      <c r="B54" s="5" t="s">
        <v>24</v>
      </c>
      <c r="C54" s="5" t="s">
        <v>88</v>
      </c>
      <c r="D54" s="5" t="s">
        <v>9</v>
      </c>
      <c r="E54" s="6">
        <v>12397</v>
      </c>
    </row>
    <row r="55" spans="1:5" x14ac:dyDescent="0.35">
      <c r="A55" t="str">
        <f t="shared" si="0"/>
        <v>I2025-04</v>
      </c>
      <c r="B55" s="5" t="s">
        <v>24</v>
      </c>
      <c r="C55" s="5" t="s">
        <v>68</v>
      </c>
      <c r="D55" s="5" t="s">
        <v>8</v>
      </c>
      <c r="E55" s="6">
        <v>35361</v>
      </c>
    </row>
    <row r="56" spans="1:5" x14ac:dyDescent="0.35">
      <c r="A56" t="str">
        <f t="shared" si="0"/>
        <v>I2025-05</v>
      </c>
      <c r="B56" s="5" t="s">
        <v>24</v>
      </c>
      <c r="C56" s="5" t="s">
        <v>69</v>
      </c>
      <c r="D56" s="5" t="s">
        <v>8</v>
      </c>
      <c r="E56" s="6">
        <v>13005</v>
      </c>
    </row>
    <row r="57" spans="1:5" x14ac:dyDescent="0.35">
      <c r="A57" t="str">
        <f t="shared" si="0"/>
        <v>J2024-12</v>
      </c>
      <c r="B57" s="5" t="s">
        <v>25</v>
      </c>
      <c r="C57" s="5" t="s">
        <v>6</v>
      </c>
      <c r="D57" s="5" t="s">
        <v>9</v>
      </c>
      <c r="E57" s="6">
        <v>19081</v>
      </c>
    </row>
    <row r="58" spans="1:5" x14ac:dyDescent="0.35">
      <c r="A58" t="str">
        <f t="shared" si="0"/>
        <v>J2025-01</v>
      </c>
      <c r="B58" s="5" t="s">
        <v>25</v>
      </c>
      <c r="C58" s="5" t="s">
        <v>66</v>
      </c>
      <c r="D58" s="5" t="s">
        <v>9</v>
      </c>
      <c r="E58" s="6">
        <v>7388</v>
      </c>
    </row>
    <row r="59" spans="1:5" x14ac:dyDescent="0.35">
      <c r="A59" t="str">
        <f t="shared" si="0"/>
        <v>J2025-02</v>
      </c>
      <c r="B59" s="5" t="s">
        <v>25</v>
      </c>
      <c r="C59" s="5" t="s">
        <v>67</v>
      </c>
      <c r="D59" s="5" t="s">
        <v>9</v>
      </c>
      <c r="E59" s="6">
        <v>25506</v>
      </c>
    </row>
    <row r="60" spans="1:5" x14ac:dyDescent="0.35">
      <c r="A60" t="str">
        <f t="shared" si="0"/>
        <v>J2025-03</v>
      </c>
      <c r="B60" s="5" t="s">
        <v>25</v>
      </c>
      <c r="C60" s="5" t="s">
        <v>88</v>
      </c>
      <c r="D60" s="5" t="s">
        <v>9</v>
      </c>
      <c r="E60" s="6">
        <v>10008</v>
      </c>
    </row>
    <row r="61" spans="1:5" x14ac:dyDescent="0.35">
      <c r="A61" t="str">
        <f t="shared" si="0"/>
        <v>J2025-04</v>
      </c>
      <c r="B61" s="5" t="s">
        <v>25</v>
      </c>
      <c r="C61" s="5" t="s">
        <v>68</v>
      </c>
      <c r="D61" s="5" t="s">
        <v>9</v>
      </c>
      <c r="E61" s="6">
        <v>48075</v>
      </c>
    </row>
    <row r="62" spans="1:5" x14ac:dyDescent="0.35">
      <c r="A62" t="str">
        <f t="shared" si="0"/>
        <v>J2025-05</v>
      </c>
      <c r="B62" s="5" t="s">
        <v>25</v>
      </c>
      <c r="C62" s="5" t="s">
        <v>69</v>
      </c>
      <c r="D62" s="5" t="s">
        <v>9</v>
      </c>
      <c r="E62" s="6">
        <v>9701</v>
      </c>
    </row>
    <row r="63" spans="1:5" x14ac:dyDescent="0.35">
      <c r="A63" t="str">
        <f t="shared" si="0"/>
        <v>K2024-12</v>
      </c>
      <c r="B63" s="5" t="s">
        <v>26</v>
      </c>
      <c r="C63" s="5" t="s">
        <v>6</v>
      </c>
      <c r="D63" s="5" t="s">
        <v>9</v>
      </c>
      <c r="E63" s="6">
        <v>46897</v>
      </c>
    </row>
    <row r="64" spans="1:5" x14ac:dyDescent="0.35">
      <c r="A64" t="str">
        <f t="shared" si="0"/>
        <v>K2025-01</v>
      </c>
      <c r="B64" s="5" t="s">
        <v>26</v>
      </c>
      <c r="C64" s="5" t="s">
        <v>66</v>
      </c>
      <c r="D64" s="5" t="s">
        <v>9</v>
      </c>
      <c r="E64" s="6">
        <v>47608</v>
      </c>
    </row>
    <row r="65" spans="1:5" x14ac:dyDescent="0.35">
      <c r="A65" t="str">
        <f t="shared" si="0"/>
        <v>K2025-02</v>
      </c>
      <c r="B65" s="5" t="s">
        <v>26</v>
      </c>
      <c r="C65" s="5" t="s">
        <v>67</v>
      </c>
      <c r="D65" s="5" t="s">
        <v>9</v>
      </c>
      <c r="E65" s="6">
        <v>40680</v>
      </c>
    </row>
    <row r="66" spans="1:5" x14ac:dyDescent="0.35">
      <c r="A66" t="str">
        <f t="shared" si="0"/>
        <v>K2025-03</v>
      </c>
      <c r="B66" s="5" t="s">
        <v>26</v>
      </c>
      <c r="C66" s="5" t="s">
        <v>88</v>
      </c>
      <c r="D66" s="5" t="s">
        <v>9</v>
      </c>
      <c r="E66" s="6">
        <v>32521</v>
      </c>
    </row>
    <row r="67" spans="1:5" x14ac:dyDescent="0.35">
      <c r="A67" t="str">
        <f t="shared" si="0"/>
        <v>K2025-04</v>
      </c>
      <c r="B67" s="5" t="s">
        <v>26</v>
      </c>
      <c r="C67" s="5" t="s">
        <v>68</v>
      </c>
      <c r="D67" s="5" t="s">
        <v>9</v>
      </c>
      <c r="E67" s="6">
        <v>12557</v>
      </c>
    </row>
    <row r="68" spans="1:5" x14ac:dyDescent="0.35">
      <c r="A68" t="str">
        <f t="shared" ref="A68:A131" si="1">CONCATENATE(B68,C68)</f>
        <v>K2025-05</v>
      </c>
      <c r="B68" s="5" t="s">
        <v>26</v>
      </c>
      <c r="C68" s="5" t="s">
        <v>69</v>
      </c>
      <c r="D68" s="5" t="s">
        <v>9</v>
      </c>
      <c r="E68" s="6">
        <v>7527</v>
      </c>
    </row>
    <row r="69" spans="1:5" x14ac:dyDescent="0.35">
      <c r="A69" t="str">
        <f t="shared" si="1"/>
        <v>L2024-12</v>
      </c>
      <c r="B69" s="5" t="s">
        <v>27</v>
      </c>
      <c r="C69" s="5" t="s">
        <v>6</v>
      </c>
      <c r="D69" s="5" t="s">
        <v>9</v>
      </c>
      <c r="E69" s="6">
        <v>36806</v>
      </c>
    </row>
    <row r="70" spans="1:5" x14ac:dyDescent="0.35">
      <c r="A70" t="str">
        <f t="shared" si="1"/>
        <v>L2025-01</v>
      </c>
      <c r="B70" s="5" t="s">
        <v>27</v>
      </c>
      <c r="C70" s="5" t="s">
        <v>66</v>
      </c>
      <c r="D70" s="5" t="s">
        <v>9</v>
      </c>
      <c r="E70" s="6">
        <v>21716</v>
      </c>
    </row>
    <row r="71" spans="1:5" x14ac:dyDescent="0.35">
      <c r="A71" t="str">
        <f t="shared" si="1"/>
        <v>L2025-02</v>
      </c>
      <c r="B71" s="5" t="s">
        <v>27</v>
      </c>
      <c r="C71" s="5" t="s">
        <v>67</v>
      </c>
      <c r="D71" s="5" t="s">
        <v>9</v>
      </c>
      <c r="E71" s="6">
        <v>20446</v>
      </c>
    </row>
    <row r="72" spans="1:5" x14ac:dyDescent="0.35">
      <c r="A72" t="str">
        <f t="shared" si="1"/>
        <v>L2025-03</v>
      </c>
      <c r="B72" s="5" t="s">
        <v>27</v>
      </c>
      <c r="C72" s="5" t="s">
        <v>88</v>
      </c>
      <c r="D72" s="5" t="s">
        <v>9</v>
      </c>
      <c r="E72" s="6">
        <v>23460</v>
      </c>
    </row>
    <row r="73" spans="1:5" x14ac:dyDescent="0.35">
      <c r="A73" t="str">
        <f t="shared" si="1"/>
        <v>L2025-04</v>
      </c>
      <c r="B73" s="5" t="s">
        <v>27</v>
      </c>
      <c r="C73" s="5" t="s">
        <v>68</v>
      </c>
      <c r="D73" s="5" t="s">
        <v>9</v>
      </c>
      <c r="E73" s="6">
        <v>23755</v>
      </c>
    </row>
    <row r="74" spans="1:5" x14ac:dyDescent="0.35">
      <c r="A74" t="str">
        <f t="shared" si="1"/>
        <v>L2025-05</v>
      </c>
      <c r="B74" s="5" t="s">
        <v>27</v>
      </c>
      <c r="C74" s="5" t="s">
        <v>69</v>
      </c>
      <c r="D74" s="5" t="s">
        <v>9</v>
      </c>
      <c r="E74" s="6">
        <v>47467</v>
      </c>
    </row>
    <row r="75" spans="1:5" x14ac:dyDescent="0.35">
      <c r="A75" t="str">
        <f t="shared" si="1"/>
        <v>M2024-12</v>
      </c>
      <c r="B75" s="5" t="s">
        <v>28</v>
      </c>
      <c r="C75" s="5" t="s">
        <v>6</v>
      </c>
      <c r="D75" s="5" t="s">
        <v>9</v>
      </c>
      <c r="E75" s="6">
        <v>18899</v>
      </c>
    </row>
    <row r="76" spans="1:5" x14ac:dyDescent="0.35">
      <c r="A76" t="str">
        <f t="shared" si="1"/>
        <v>M2025-01</v>
      </c>
      <c r="B76" s="5" t="s">
        <v>28</v>
      </c>
      <c r="C76" s="5" t="s">
        <v>66</v>
      </c>
      <c r="D76" s="5" t="s">
        <v>9</v>
      </c>
      <c r="E76" s="6">
        <v>9629</v>
      </c>
    </row>
    <row r="77" spans="1:5" x14ac:dyDescent="0.35">
      <c r="A77" t="str">
        <f t="shared" si="1"/>
        <v>M2025-02</v>
      </c>
      <c r="B77" s="5" t="s">
        <v>28</v>
      </c>
      <c r="C77" s="5" t="s">
        <v>67</v>
      </c>
      <c r="D77" s="5" t="s">
        <v>9</v>
      </c>
      <c r="E77" s="6">
        <v>9867</v>
      </c>
    </row>
    <row r="78" spans="1:5" x14ac:dyDescent="0.35">
      <c r="A78" t="str">
        <f t="shared" si="1"/>
        <v>M2025-03</v>
      </c>
      <c r="B78" s="5" t="s">
        <v>28</v>
      </c>
      <c r="C78" s="5" t="s">
        <v>88</v>
      </c>
      <c r="D78" s="5" t="s">
        <v>8</v>
      </c>
      <c r="E78" s="6">
        <v>26670</v>
      </c>
    </row>
    <row r="79" spans="1:5" x14ac:dyDescent="0.35">
      <c r="A79" t="str">
        <f t="shared" si="1"/>
        <v>M2025-04</v>
      </c>
      <c r="B79" s="5" t="s">
        <v>28</v>
      </c>
      <c r="C79" s="5" t="s">
        <v>68</v>
      </c>
      <c r="D79" s="5" t="s">
        <v>9</v>
      </c>
      <c r="E79" s="6">
        <v>38849</v>
      </c>
    </row>
    <row r="80" spans="1:5" x14ac:dyDescent="0.35">
      <c r="A80" t="str">
        <f t="shared" si="1"/>
        <v>M2025-05</v>
      </c>
      <c r="B80" s="5" t="s">
        <v>28</v>
      </c>
      <c r="C80" s="5" t="s">
        <v>69</v>
      </c>
      <c r="D80" s="5" t="s">
        <v>9</v>
      </c>
      <c r="E80" s="6">
        <v>19165</v>
      </c>
    </row>
    <row r="81" spans="1:5" x14ac:dyDescent="0.35">
      <c r="A81" t="str">
        <f t="shared" si="1"/>
        <v>N2024-12</v>
      </c>
      <c r="B81" s="5" t="s">
        <v>29</v>
      </c>
      <c r="C81" s="5" t="s">
        <v>6</v>
      </c>
      <c r="D81" s="5" t="s">
        <v>9</v>
      </c>
      <c r="E81" s="6">
        <v>24247</v>
      </c>
    </row>
    <row r="82" spans="1:5" x14ac:dyDescent="0.35">
      <c r="A82" t="str">
        <f t="shared" si="1"/>
        <v>N2025-01</v>
      </c>
      <c r="B82" s="5" t="s">
        <v>29</v>
      </c>
      <c r="C82" s="5" t="s">
        <v>66</v>
      </c>
      <c r="D82" s="5" t="s">
        <v>9</v>
      </c>
      <c r="E82" s="6">
        <v>36928</v>
      </c>
    </row>
    <row r="83" spans="1:5" x14ac:dyDescent="0.35">
      <c r="A83" t="str">
        <f t="shared" si="1"/>
        <v>N2025-02</v>
      </c>
      <c r="B83" s="5" t="s">
        <v>29</v>
      </c>
      <c r="C83" s="5" t="s">
        <v>67</v>
      </c>
      <c r="D83" s="5" t="s">
        <v>8</v>
      </c>
      <c r="E83" s="6">
        <v>9259</v>
      </c>
    </row>
    <row r="84" spans="1:5" x14ac:dyDescent="0.35">
      <c r="A84" t="str">
        <f t="shared" si="1"/>
        <v>N2025-03</v>
      </c>
      <c r="B84" s="5" t="s">
        <v>29</v>
      </c>
      <c r="C84" s="5" t="s">
        <v>88</v>
      </c>
      <c r="D84" s="5" t="s">
        <v>9</v>
      </c>
      <c r="E84" s="6">
        <v>44919</v>
      </c>
    </row>
    <row r="85" spans="1:5" x14ac:dyDescent="0.35">
      <c r="A85" t="str">
        <f t="shared" si="1"/>
        <v>N2025-04</v>
      </c>
      <c r="B85" s="5" t="s">
        <v>29</v>
      </c>
      <c r="C85" s="5" t="s">
        <v>68</v>
      </c>
      <c r="D85" s="5" t="s">
        <v>9</v>
      </c>
      <c r="E85" s="6">
        <v>48838</v>
      </c>
    </row>
    <row r="86" spans="1:5" x14ac:dyDescent="0.35">
      <c r="A86" t="str">
        <f t="shared" si="1"/>
        <v>N2025-05</v>
      </c>
      <c r="B86" s="5" t="s">
        <v>29</v>
      </c>
      <c r="C86" s="5" t="s">
        <v>69</v>
      </c>
      <c r="D86" s="5" t="s">
        <v>9</v>
      </c>
      <c r="E86" s="6">
        <v>20203</v>
      </c>
    </row>
    <row r="87" spans="1:5" x14ac:dyDescent="0.35">
      <c r="A87" t="str">
        <f t="shared" si="1"/>
        <v>O2024-12</v>
      </c>
      <c r="B87" s="5" t="s">
        <v>30</v>
      </c>
      <c r="C87" s="5" t="s">
        <v>6</v>
      </c>
      <c r="D87" s="5" t="s">
        <v>9</v>
      </c>
      <c r="E87" s="6">
        <v>25062</v>
      </c>
    </row>
    <row r="88" spans="1:5" x14ac:dyDescent="0.35">
      <c r="A88" t="str">
        <f t="shared" si="1"/>
        <v>O2025-01</v>
      </c>
      <c r="B88" s="5" t="s">
        <v>30</v>
      </c>
      <c r="C88" s="5" t="s">
        <v>66</v>
      </c>
      <c r="D88" s="5" t="s">
        <v>9</v>
      </c>
      <c r="E88" s="6">
        <v>34086</v>
      </c>
    </row>
    <row r="89" spans="1:5" x14ac:dyDescent="0.35">
      <c r="A89" t="str">
        <f t="shared" si="1"/>
        <v>O2025-02</v>
      </c>
      <c r="B89" s="5" t="s">
        <v>30</v>
      </c>
      <c r="C89" s="5" t="s">
        <v>67</v>
      </c>
      <c r="D89" s="5" t="s">
        <v>9</v>
      </c>
      <c r="E89" s="6">
        <v>9723</v>
      </c>
    </row>
    <row r="90" spans="1:5" x14ac:dyDescent="0.35">
      <c r="A90" t="str">
        <f t="shared" si="1"/>
        <v>O2025-03</v>
      </c>
      <c r="B90" s="5" t="s">
        <v>30</v>
      </c>
      <c r="C90" s="5" t="s">
        <v>88</v>
      </c>
      <c r="D90" s="5" t="s">
        <v>9</v>
      </c>
      <c r="E90" s="6">
        <v>8243</v>
      </c>
    </row>
    <row r="91" spans="1:5" x14ac:dyDescent="0.35">
      <c r="A91" t="str">
        <f t="shared" si="1"/>
        <v>O2025-04</v>
      </c>
      <c r="B91" s="5" t="s">
        <v>30</v>
      </c>
      <c r="C91" s="5" t="s">
        <v>68</v>
      </c>
      <c r="D91" s="5" t="s">
        <v>9</v>
      </c>
      <c r="E91" s="6">
        <v>45403</v>
      </c>
    </row>
    <row r="92" spans="1:5" x14ac:dyDescent="0.35">
      <c r="A92" t="str">
        <f t="shared" si="1"/>
        <v>O2025-05</v>
      </c>
      <c r="B92" s="5" t="s">
        <v>30</v>
      </c>
      <c r="C92" s="5" t="s">
        <v>69</v>
      </c>
      <c r="D92" s="5" t="s">
        <v>9</v>
      </c>
      <c r="E92" s="6">
        <v>40794</v>
      </c>
    </row>
    <row r="93" spans="1:5" x14ac:dyDescent="0.35">
      <c r="A93" t="str">
        <f t="shared" si="1"/>
        <v>P2024-12</v>
      </c>
      <c r="B93" s="5" t="s">
        <v>31</v>
      </c>
      <c r="C93" s="5" t="s">
        <v>6</v>
      </c>
      <c r="D93" s="5" t="s">
        <v>9</v>
      </c>
      <c r="E93" s="6">
        <v>26265</v>
      </c>
    </row>
    <row r="94" spans="1:5" x14ac:dyDescent="0.35">
      <c r="A94" t="str">
        <f t="shared" si="1"/>
        <v>P2025-01</v>
      </c>
      <c r="B94" s="5" t="s">
        <v>31</v>
      </c>
      <c r="C94" s="5" t="s">
        <v>66</v>
      </c>
      <c r="D94" s="5" t="s">
        <v>9</v>
      </c>
      <c r="E94" s="6">
        <v>34662</v>
      </c>
    </row>
    <row r="95" spans="1:5" x14ac:dyDescent="0.35">
      <c r="A95" t="str">
        <f t="shared" si="1"/>
        <v>P2025-02</v>
      </c>
      <c r="B95" s="5" t="s">
        <v>31</v>
      </c>
      <c r="C95" s="5" t="s">
        <v>67</v>
      </c>
      <c r="D95" s="5" t="s">
        <v>9</v>
      </c>
      <c r="E95" s="6">
        <v>45834</v>
      </c>
    </row>
    <row r="96" spans="1:5" x14ac:dyDescent="0.35">
      <c r="A96" t="str">
        <f t="shared" si="1"/>
        <v>P2025-03</v>
      </c>
      <c r="B96" s="5" t="s">
        <v>31</v>
      </c>
      <c r="C96" s="5" t="s">
        <v>88</v>
      </c>
      <c r="D96" s="5" t="s">
        <v>8</v>
      </c>
      <c r="E96" s="6">
        <v>17384</v>
      </c>
    </row>
    <row r="97" spans="1:5" x14ac:dyDescent="0.35">
      <c r="A97" t="str">
        <f t="shared" si="1"/>
        <v>P2025-04</v>
      </c>
      <c r="B97" s="5" t="s">
        <v>31</v>
      </c>
      <c r="C97" s="5" t="s">
        <v>68</v>
      </c>
      <c r="D97" s="5" t="s">
        <v>8</v>
      </c>
      <c r="E97" s="6">
        <v>5030</v>
      </c>
    </row>
    <row r="98" spans="1:5" x14ac:dyDescent="0.35">
      <c r="A98" t="str">
        <f t="shared" si="1"/>
        <v>P2025-05</v>
      </c>
      <c r="B98" s="5" t="s">
        <v>31</v>
      </c>
      <c r="C98" s="5" t="s">
        <v>69</v>
      </c>
      <c r="D98" s="5" t="s">
        <v>9</v>
      </c>
      <c r="E98" s="6">
        <v>8067</v>
      </c>
    </row>
    <row r="99" spans="1:5" x14ac:dyDescent="0.35">
      <c r="A99" t="str">
        <f t="shared" si="1"/>
        <v>Q2024-12</v>
      </c>
      <c r="B99" s="5" t="s">
        <v>32</v>
      </c>
      <c r="C99" s="5" t="s">
        <v>6</v>
      </c>
      <c r="D99" s="5" t="s">
        <v>9</v>
      </c>
      <c r="E99" s="6">
        <v>20995</v>
      </c>
    </row>
    <row r="100" spans="1:5" x14ac:dyDescent="0.35">
      <c r="A100" t="str">
        <f t="shared" si="1"/>
        <v>Q2025-01</v>
      </c>
      <c r="B100" s="5" t="s">
        <v>32</v>
      </c>
      <c r="C100" s="5" t="s">
        <v>66</v>
      </c>
      <c r="D100" s="5" t="s">
        <v>9</v>
      </c>
      <c r="E100" s="6">
        <v>20013</v>
      </c>
    </row>
    <row r="101" spans="1:5" x14ac:dyDescent="0.35">
      <c r="A101" t="str">
        <f t="shared" si="1"/>
        <v>Q2025-02</v>
      </c>
      <c r="B101" s="5" t="s">
        <v>32</v>
      </c>
      <c r="C101" s="5" t="s">
        <v>67</v>
      </c>
      <c r="D101" s="5" t="s">
        <v>9</v>
      </c>
      <c r="E101" s="6">
        <v>6886</v>
      </c>
    </row>
    <row r="102" spans="1:5" x14ac:dyDescent="0.35">
      <c r="A102" t="str">
        <f t="shared" si="1"/>
        <v>Q2025-03</v>
      </c>
      <c r="B102" s="5" t="s">
        <v>32</v>
      </c>
      <c r="C102" s="5" t="s">
        <v>88</v>
      </c>
      <c r="D102" s="5" t="s">
        <v>9</v>
      </c>
      <c r="E102" s="6">
        <v>9075</v>
      </c>
    </row>
    <row r="103" spans="1:5" x14ac:dyDescent="0.35">
      <c r="A103" t="str">
        <f t="shared" si="1"/>
        <v>Q2025-04</v>
      </c>
      <c r="B103" s="5" t="s">
        <v>32</v>
      </c>
      <c r="C103" s="5" t="s">
        <v>68</v>
      </c>
      <c r="D103" s="5" t="s">
        <v>9</v>
      </c>
      <c r="E103" s="6">
        <v>48175</v>
      </c>
    </row>
    <row r="104" spans="1:5" x14ac:dyDescent="0.35">
      <c r="A104" t="str">
        <f t="shared" si="1"/>
        <v>Q2025-05</v>
      </c>
      <c r="B104" s="5" t="s">
        <v>32</v>
      </c>
      <c r="C104" s="5" t="s">
        <v>69</v>
      </c>
      <c r="D104" s="5" t="s">
        <v>9</v>
      </c>
      <c r="E104" s="6">
        <v>16414</v>
      </c>
    </row>
    <row r="105" spans="1:5" x14ac:dyDescent="0.35">
      <c r="A105" t="str">
        <f t="shared" si="1"/>
        <v>R2024-12</v>
      </c>
      <c r="B105" s="5" t="s">
        <v>33</v>
      </c>
      <c r="C105" s="5" t="s">
        <v>6</v>
      </c>
      <c r="D105" s="5" t="s">
        <v>9</v>
      </c>
      <c r="E105" s="6">
        <v>27340</v>
      </c>
    </row>
    <row r="106" spans="1:5" x14ac:dyDescent="0.35">
      <c r="A106" t="str">
        <f t="shared" si="1"/>
        <v>R2025-01</v>
      </c>
      <c r="B106" s="5" t="s">
        <v>33</v>
      </c>
      <c r="C106" s="5" t="s">
        <v>66</v>
      </c>
      <c r="D106" s="5" t="s">
        <v>9</v>
      </c>
      <c r="E106" s="6">
        <v>4440</v>
      </c>
    </row>
    <row r="107" spans="1:5" x14ac:dyDescent="0.35">
      <c r="A107" t="str">
        <f t="shared" si="1"/>
        <v>R2025-02</v>
      </c>
      <c r="B107" s="5" t="s">
        <v>33</v>
      </c>
      <c r="C107" s="5" t="s">
        <v>67</v>
      </c>
      <c r="D107" s="5" t="s">
        <v>9</v>
      </c>
      <c r="E107" s="6">
        <v>19562</v>
      </c>
    </row>
    <row r="108" spans="1:5" x14ac:dyDescent="0.35">
      <c r="A108" t="str">
        <f t="shared" si="1"/>
        <v>R2025-03</v>
      </c>
      <c r="B108" s="5" t="s">
        <v>33</v>
      </c>
      <c r="C108" s="5" t="s">
        <v>88</v>
      </c>
      <c r="D108" s="5" t="s">
        <v>8</v>
      </c>
      <c r="E108" s="6">
        <v>28803</v>
      </c>
    </row>
    <row r="109" spans="1:5" x14ac:dyDescent="0.35">
      <c r="A109" t="str">
        <f t="shared" si="1"/>
        <v>R2025-04</v>
      </c>
      <c r="B109" s="5" t="s">
        <v>33</v>
      </c>
      <c r="C109" s="5" t="s">
        <v>68</v>
      </c>
      <c r="D109" s="5" t="s">
        <v>9</v>
      </c>
      <c r="E109" s="6">
        <v>4109</v>
      </c>
    </row>
    <row r="110" spans="1:5" x14ac:dyDescent="0.35">
      <c r="A110" t="str">
        <f t="shared" si="1"/>
        <v>R2025-05</v>
      </c>
      <c r="B110" s="5" t="s">
        <v>33</v>
      </c>
      <c r="C110" s="5" t="s">
        <v>69</v>
      </c>
      <c r="D110" s="5" t="s">
        <v>9</v>
      </c>
      <c r="E110" s="6">
        <v>31357</v>
      </c>
    </row>
    <row r="111" spans="1:5" x14ac:dyDescent="0.35">
      <c r="A111" t="str">
        <f t="shared" si="1"/>
        <v>S2024-12</v>
      </c>
      <c r="B111" s="5" t="s">
        <v>34</v>
      </c>
      <c r="C111" s="5" t="s">
        <v>6</v>
      </c>
      <c r="D111" s="5" t="s">
        <v>8</v>
      </c>
      <c r="E111" s="6">
        <v>41566</v>
      </c>
    </row>
    <row r="112" spans="1:5" x14ac:dyDescent="0.35">
      <c r="A112" t="str">
        <f t="shared" si="1"/>
        <v>S2025-01</v>
      </c>
      <c r="B112" s="5" t="s">
        <v>34</v>
      </c>
      <c r="C112" s="5" t="s">
        <v>66</v>
      </c>
      <c r="D112" s="5" t="s">
        <v>8</v>
      </c>
      <c r="E112" s="6">
        <v>28545</v>
      </c>
    </row>
    <row r="113" spans="1:5" x14ac:dyDescent="0.35">
      <c r="A113" t="str">
        <f t="shared" si="1"/>
        <v>S2025-02</v>
      </c>
      <c r="B113" s="5" t="s">
        <v>34</v>
      </c>
      <c r="C113" s="5" t="s">
        <v>67</v>
      </c>
      <c r="D113" s="5" t="s">
        <v>9</v>
      </c>
      <c r="E113" s="6">
        <v>41648</v>
      </c>
    </row>
    <row r="114" spans="1:5" x14ac:dyDescent="0.35">
      <c r="A114" t="str">
        <f t="shared" si="1"/>
        <v>S2025-03</v>
      </c>
      <c r="B114" s="5" t="s">
        <v>34</v>
      </c>
      <c r="C114" s="5" t="s">
        <v>88</v>
      </c>
      <c r="D114" s="5" t="s">
        <v>9</v>
      </c>
      <c r="E114" s="6">
        <v>32796</v>
      </c>
    </row>
    <row r="115" spans="1:5" x14ac:dyDescent="0.35">
      <c r="A115" t="str">
        <f t="shared" si="1"/>
        <v>S2025-04</v>
      </c>
      <c r="B115" s="5" t="s">
        <v>34</v>
      </c>
      <c r="C115" s="5" t="s">
        <v>68</v>
      </c>
      <c r="D115" s="5" t="s">
        <v>9</v>
      </c>
      <c r="E115" s="6">
        <v>34248</v>
      </c>
    </row>
    <row r="116" spans="1:5" x14ac:dyDescent="0.35">
      <c r="A116" t="str">
        <f t="shared" si="1"/>
        <v>S2025-05</v>
      </c>
      <c r="B116" s="5" t="s">
        <v>34</v>
      </c>
      <c r="C116" s="5" t="s">
        <v>69</v>
      </c>
      <c r="D116" s="5" t="s">
        <v>9</v>
      </c>
      <c r="E116" s="6">
        <v>44925</v>
      </c>
    </row>
    <row r="117" spans="1:5" x14ac:dyDescent="0.35">
      <c r="A117" t="str">
        <f t="shared" si="1"/>
        <v>T2024-12</v>
      </c>
      <c r="B117" s="5" t="s">
        <v>35</v>
      </c>
      <c r="C117" s="5" t="s">
        <v>6</v>
      </c>
      <c r="D117" s="5" t="s">
        <v>8</v>
      </c>
      <c r="E117" s="6">
        <v>48541</v>
      </c>
    </row>
    <row r="118" spans="1:5" x14ac:dyDescent="0.35">
      <c r="A118" t="str">
        <f t="shared" si="1"/>
        <v>T2025-01</v>
      </c>
      <c r="B118" s="5" t="s">
        <v>35</v>
      </c>
      <c r="C118" s="5" t="s">
        <v>66</v>
      </c>
      <c r="D118" s="5" t="s">
        <v>9</v>
      </c>
      <c r="E118" s="6">
        <v>35551</v>
      </c>
    </row>
    <row r="119" spans="1:5" x14ac:dyDescent="0.35">
      <c r="A119" t="str">
        <f t="shared" si="1"/>
        <v>T2025-02</v>
      </c>
      <c r="B119" s="5" t="s">
        <v>35</v>
      </c>
      <c r="C119" s="5" t="s">
        <v>67</v>
      </c>
      <c r="D119" s="5" t="s">
        <v>9</v>
      </c>
      <c r="E119" s="6">
        <v>17876</v>
      </c>
    </row>
    <row r="120" spans="1:5" x14ac:dyDescent="0.35">
      <c r="A120" t="str">
        <f t="shared" si="1"/>
        <v>T2025-03</v>
      </c>
      <c r="B120" s="5" t="s">
        <v>35</v>
      </c>
      <c r="C120" s="5" t="s">
        <v>88</v>
      </c>
      <c r="D120" s="5" t="s">
        <v>8</v>
      </c>
      <c r="E120" s="6">
        <v>47298</v>
      </c>
    </row>
    <row r="121" spans="1:5" x14ac:dyDescent="0.35">
      <c r="A121" t="str">
        <f t="shared" si="1"/>
        <v>T2025-04</v>
      </c>
      <c r="B121" s="5" t="s">
        <v>35</v>
      </c>
      <c r="C121" s="5" t="s">
        <v>68</v>
      </c>
      <c r="D121" s="5" t="s">
        <v>9</v>
      </c>
      <c r="E121" s="6">
        <v>35483</v>
      </c>
    </row>
    <row r="122" spans="1:5" x14ac:dyDescent="0.35">
      <c r="A122" t="str">
        <f t="shared" si="1"/>
        <v>T2025-05</v>
      </c>
      <c r="B122" s="5" t="s">
        <v>35</v>
      </c>
      <c r="C122" s="5" t="s">
        <v>69</v>
      </c>
      <c r="D122" s="5" t="s">
        <v>9</v>
      </c>
      <c r="E122" s="6">
        <v>45775</v>
      </c>
    </row>
    <row r="123" spans="1:5" x14ac:dyDescent="0.35">
      <c r="A123" t="str">
        <f t="shared" si="1"/>
        <v>U2024-12</v>
      </c>
      <c r="B123" s="5" t="s">
        <v>36</v>
      </c>
      <c r="C123" s="5" t="s">
        <v>6</v>
      </c>
      <c r="D123" s="5" t="s">
        <v>9</v>
      </c>
      <c r="E123" s="6">
        <v>41749</v>
      </c>
    </row>
    <row r="124" spans="1:5" x14ac:dyDescent="0.35">
      <c r="A124" t="str">
        <f t="shared" si="1"/>
        <v>U2025-01</v>
      </c>
      <c r="B124" s="5" t="s">
        <v>36</v>
      </c>
      <c r="C124" s="5" t="s">
        <v>66</v>
      </c>
      <c r="D124" s="5" t="s">
        <v>9</v>
      </c>
      <c r="E124" s="6">
        <v>47188</v>
      </c>
    </row>
    <row r="125" spans="1:5" x14ac:dyDescent="0.35">
      <c r="A125" t="str">
        <f t="shared" si="1"/>
        <v>U2025-02</v>
      </c>
      <c r="B125" s="5" t="s">
        <v>36</v>
      </c>
      <c r="C125" s="5" t="s">
        <v>67</v>
      </c>
      <c r="D125" s="5" t="s">
        <v>9</v>
      </c>
      <c r="E125" s="6">
        <v>6239</v>
      </c>
    </row>
    <row r="126" spans="1:5" x14ac:dyDescent="0.35">
      <c r="A126" t="str">
        <f t="shared" si="1"/>
        <v>U2025-03</v>
      </c>
      <c r="B126" s="5" t="s">
        <v>36</v>
      </c>
      <c r="C126" s="5" t="s">
        <v>88</v>
      </c>
      <c r="D126" s="5" t="s">
        <v>9</v>
      </c>
      <c r="E126" s="6">
        <v>25102</v>
      </c>
    </row>
    <row r="127" spans="1:5" x14ac:dyDescent="0.35">
      <c r="A127" t="str">
        <f t="shared" si="1"/>
        <v>U2025-04</v>
      </c>
      <c r="B127" s="5" t="s">
        <v>36</v>
      </c>
      <c r="C127" s="5" t="s">
        <v>68</v>
      </c>
      <c r="D127" s="5" t="s">
        <v>8</v>
      </c>
      <c r="E127" s="6">
        <v>47907</v>
      </c>
    </row>
    <row r="128" spans="1:5" x14ac:dyDescent="0.35">
      <c r="A128" t="str">
        <f t="shared" si="1"/>
        <v>U2025-05</v>
      </c>
      <c r="B128" s="5" t="s">
        <v>36</v>
      </c>
      <c r="C128" s="5" t="s">
        <v>69</v>
      </c>
      <c r="D128" s="5" t="s">
        <v>9</v>
      </c>
      <c r="E128" s="6">
        <v>32310</v>
      </c>
    </row>
    <row r="129" spans="1:5" x14ac:dyDescent="0.35">
      <c r="A129" t="str">
        <f t="shared" si="1"/>
        <v>V2024-12</v>
      </c>
      <c r="B129" s="5" t="s">
        <v>37</v>
      </c>
      <c r="C129" s="5" t="s">
        <v>6</v>
      </c>
      <c r="D129" s="5" t="s">
        <v>9</v>
      </c>
      <c r="E129" s="6">
        <v>20008</v>
      </c>
    </row>
    <row r="130" spans="1:5" x14ac:dyDescent="0.35">
      <c r="A130" t="str">
        <f t="shared" si="1"/>
        <v>V2025-01</v>
      </c>
      <c r="B130" s="5" t="s">
        <v>37</v>
      </c>
      <c r="C130" s="5" t="s">
        <v>66</v>
      </c>
      <c r="D130" s="5" t="s">
        <v>9</v>
      </c>
      <c r="E130" s="6">
        <v>43449</v>
      </c>
    </row>
    <row r="131" spans="1:5" x14ac:dyDescent="0.35">
      <c r="A131" t="str">
        <f t="shared" si="1"/>
        <v>V2025-02</v>
      </c>
      <c r="B131" s="5" t="s">
        <v>37</v>
      </c>
      <c r="C131" s="5" t="s">
        <v>67</v>
      </c>
      <c r="D131" s="5" t="s">
        <v>9</v>
      </c>
      <c r="E131" s="6">
        <v>31682</v>
      </c>
    </row>
    <row r="132" spans="1:5" x14ac:dyDescent="0.35">
      <c r="A132" t="str">
        <f t="shared" ref="A132:A195" si="2">CONCATENATE(B132,C132)</f>
        <v>V2025-03</v>
      </c>
      <c r="B132" s="5" t="s">
        <v>37</v>
      </c>
      <c r="C132" s="5" t="s">
        <v>88</v>
      </c>
      <c r="D132" s="5" t="s">
        <v>8</v>
      </c>
      <c r="E132" s="6">
        <v>48767</v>
      </c>
    </row>
    <row r="133" spans="1:5" x14ac:dyDescent="0.35">
      <c r="A133" t="str">
        <f t="shared" si="2"/>
        <v>V2025-04</v>
      </c>
      <c r="B133" s="5" t="s">
        <v>37</v>
      </c>
      <c r="C133" s="5" t="s">
        <v>68</v>
      </c>
      <c r="D133" s="5" t="s">
        <v>9</v>
      </c>
      <c r="E133" s="6">
        <v>37251</v>
      </c>
    </row>
    <row r="134" spans="1:5" x14ac:dyDescent="0.35">
      <c r="A134" t="str">
        <f t="shared" si="2"/>
        <v>V2025-05</v>
      </c>
      <c r="B134" s="5" t="s">
        <v>37</v>
      </c>
      <c r="C134" s="5" t="s">
        <v>69</v>
      </c>
      <c r="D134" s="5" t="s">
        <v>8</v>
      </c>
      <c r="E134" s="6">
        <v>22468</v>
      </c>
    </row>
    <row r="135" spans="1:5" x14ac:dyDescent="0.35">
      <c r="A135" t="str">
        <f t="shared" si="2"/>
        <v>X2024-12</v>
      </c>
      <c r="B135" s="5" t="s">
        <v>38</v>
      </c>
      <c r="C135" s="5" t="s">
        <v>6</v>
      </c>
      <c r="D135" s="5" t="s">
        <v>9</v>
      </c>
      <c r="E135" s="6">
        <v>46567</v>
      </c>
    </row>
    <row r="136" spans="1:5" x14ac:dyDescent="0.35">
      <c r="A136" t="str">
        <f t="shared" si="2"/>
        <v>X2025-01</v>
      </c>
      <c r="B136" s="5" t="s">
        <v>38</v>
      </c>
      <c r="C136" s="5" t="s">
        <v>66</v>
      </c>
      <c r="D136" s="5" t="s">
        <v>8</v>
      </c>
      <c r="E136" s="6">
        <v>6613</v>
      </c>
    </row>
    <row r="137" spans="1:5" x14ac:dyDescent="0.35">
      <c r="A137" t="str">
        <f t="shared" si="2"/>
        <v>X2025-02</v>
      </c>
      <c r="B137" s="5" t="s">
        <v>38</v>
      </c>
      <c r="C137" s="5" t="s">
        <v>67</v>
      </c>
      <c r="D137" s="5" t="s">
        <v>9</v>
      </c>
      <c r="E137" s="6">
        <v>46185</v>
      </c>
    </row>
    <row r="138" spans="1:5" x14ac:dyDescent="0.35">
      <c r="A138" t="str">
        <f t="shared" si="2"/>
        <v>X2025-03</v>
      </c>
      <c r="B138" s="5" t="s">
        <v>38</v>
      </c>
      <c r="C138" s="5" t="s">
        <v>88</v>
      </c>
      <c r="D138" s="5" t="s">
        <v>9</v>
      </c>
      <c r="E138" s="6">
        <v>13135</v>
      </c>
    </row>
    <row r="139" spans="1:5" x14ac:dyDescent="0.35">
      <c r="A139" t="str">
        <f t="shared" si="2"/>
        <v>X2025-04</v>
      </c>
      <c r="B139" s="5" t="s">
        <v>38</v>
      </c>
      <c r="C139" s="5" t="s">
        <v>68</v>
      </c>
      <c r="D139" s="5" t="s">
        <v>9</v>
      </c>
      <c r="E139" s="6">
        <v>24902</v>
      </c>
    </row>
    <row r="140" spans="1:5" x14ac:dyDescent="0.35">
      <c r="A140" t="str">
        <f t="shared" si="2"/>
        <v>X2025-05</v>
      </c>
      <c r="B140" s="5" t="s">
        <v>38</v>
      </c>
      <c r="C140" s="5" t="s">
        <v>69</v>
      </c>
      <c r="D140" s="5" t="s">
        <v>8</v>
      </c>
      <c r="E140" s="6">
        <v>21992</v>
      </c>
    </row>
    <row r="141" spans="1:5" x14ac:dyDescent="0.35">
      <c r="A141" t="str">
        <f t="shared" si="2"/>
        <v>W2024-12</v>
      </c>
      <c r="B141" s="5" t="s">
        <v>39</v>
      </c>
      <c r="C141" s="5" t="s">
        <v>6</v>
      </c>
      <c r="D141" s="5" t="s">
        <v>9</v>
      </c>
      <c r="E141" s="6">
        <v>43954</v>
      </c>
    </row>
    <row r="142" spans="1:5" x14ac:dyDescent="0.35">
      <c r="A142" t="str">
        <f t="shared" si="2"/>
        <v>W2025-01</v>
      </c>
      <c r="B142" s="5" t="s">
        <v>39</v>
      </c>
      <c r="C142" s="5" t="s">
        <v>66</v>
      </c>
      <c r="D142" s="5" t="s">
        <v>9</v>
      </c>
      <c r="E142" s="6">
        <v>17602</v>
      </c>
    </row>
    <row r="143" spans="1:5" x14ac:dyDescent="0.35">
      <c r="A143" t="str">
        <f t="shared" si="2"/>
        <v>W2025-02</v>
      </c>
      <c r="B143" s="5" t="s">
        <v>39</v>
      </c>
      <c r="C143" s="5" t="s">
        <v>67</v>
      </c>
      <c r="D143" s="5" t="s">
        <v>9</v>
      </c>
      <c r="E143" s="6">
        <v>49685</v>
      </c>
    </row>
    <row r="144" spans="1:5" x14ac:dyDescent="0.35">
      <c r="A144" t="str">
        <f t="shared" si="2"/>
        <v>W2025-03</v>
      </c>
      <c r="B144" s="5" t="s">
        <v>39</v>
      </c>
      <c r="C144" s="5" t="s">
        <v>88</v>
      </c>
      <c r="D144" s="5" t="s">
        <v>9</v>
      </c>
      <c r="E144" s="6">
        <v>42082</v>
      </c>
    </row>
    <row r="145" spans="1:5" x14ac:dyDescent="0.35">
      <c r="A145" t="str">
        <f t="shared" si="2"/>
        <v>W2025-04</v>
      </c>
      <c r="B145" s="5" t="s">
        <v>39</v>
      </c>
      <c r="C145" s="5" t="s">
        <v>68</v>
      </c>
      <c r="D145" s="5" t="s">
        <v>9</v>
      </c>
      <c r="E145" s="6">
        <v>43161</v>
      </c>
    </row>
    <row r="146" spans="1:5" x14ac:dyDescent="0.35">
      <c r="A146" t="str">
        <f t="shared" si="2"/>
        <v>W2025-05</v>
      </c>
      <c r="B146" s="5" t="s">
        <v>39</v>
      </c>
      <c r="C146" s="5" t="s">
        <v>69</v>
      </c>
      <c r="D146" s="5" t="s">
        <v>9</v>
      </c>
      <c r="E146" s="6">
        <v>36095</v>
      </c>
    </row>
    <row r="147" spans="1:5" x14ac:dyDescent="0.35">
      <c r="A147" t="str">
        <f t="shared" si="2"/>
        <v>Y2024-12</v>
      </c>
      <c r="B147" s="5" t="s">
        <v>40</v>
      </c>
      <c r="C147" s="5" t="s">
        <v>6</v>
      </c>
      <c r="D147" s="5" t="s">
        <v>9</v>
      </c>
      <c r="E147" s="6">
        <v>11107</v>
      </c>
    </row>
    <row r="148" spans="1:5" x14ac:dyDescent="0.35">
      <c r="A148" t="str">
        <f t="shared" si="2"/>
        <v>Y2025-01</v>
      </c>
      <c r="B148" s="5" t="s">
        <v>40</v>
      </c>
      <c r="C148" s="5" t="s">
        <v>66</v>
      </c>
      <c r="D148" s="5" t="s">
        <v>9</v>
      </c>
      <c r="E148" s="6">
        <v>26020</v>
      </c>
    </row>
    <row r="149" spans="1:5" x14ac:dyDescent="0.35">
      <c r="A149" t="str">
        <f t="shared" si="2"/>
        <v>Y2025-02</v>
      </c>
      <c r="B149" s="5" t="s">
        <v>40</v>
      </c>
      <c r="C149" s="5" t="s">
        <v>67</v>
      </c>
      <c r="D149" s="5" t="s">
        <v>8</v>
      </c>
      <c r="E149" s="6">
        <v>25224</v>
      </c>
    </row>
    <row r="150" spans="1:5" x14ac:dyDescent="0.35">
      <c r="A150" t="str">
        <f t="shared" si="2"/>
        <v>Y2025-03</v>
      </c>
      <c r="B150" s="5" t="s">
        <v>40</v>
      </c>
      <c r="C150" s="5" t="s">
        <v>88</v>
      </c>
      <c r="D150" s="5" t="s">
        <v>9</v>
      </c>
      <c r="E150" s="6">
        <v>20585</v>
      </c>
    </row>
    <row r="151" spans="1:5" x14ac:dyDescent="0.35">
      <c r="A151" t="str">
        <f t="shared" si="2"/>
        <v>Y2025-04</v>
      </c>
      <c r="B151" s="5" t="s">
        <v>40</v>
      </c>
      <c r="C151" s="5" t="s">
        <v>68</v>
      </c>
      <c r="D151" s="5" t="s">
        <v>8</v>
      </c>
      <c r="E151" s="6">
        <v>45898</v>
      </c>
    </row>
    <row r="152" spans="1:5" x14ac:dyDescent="0.35">
      <c r="A152" t="str">
        <f t="shared" si="2"/>
        <v>Y2025-05</v>
      </c>
      <c r="B152" s="5" t="s">
        <v>40</v>
      </c>
      <c r="C152" s="5" t="s">
        <v>69</v>
      </c>
      <c r="D152" s="5" t="s">
        <v>9</v>
      </c>
      <c r="E152" s="6">
        <v>9265</v>
      </c>
    </row>
    <row r="153" spans="1:5" x14ac:dyDescent="0.35">
      <c r="A153" t="str">
        <f t="shared" si="2"/>
        <v>Z2024-12</v>
      </c>
      <c r="B153" s="5" t="s">
        <v>41</v>
      </c>
      <c r="C153" s="5" t="s">
        <v>6</v>
      </c>
      <c r="D153" s="5" t="s">
        <v>9</v>
      </c>
      <c r="E153" s="6">
        <v>7187</v>
      </c>
    </row>
    <row r="154" spans="1:5" x14ac:dyDescent="0.35">
      <c r="A154" t="str">
        <f t="shared" si="2"/>
        <v>Z2025-01</v>
      </c>
      <c r="B154" s="5" t="s">
        <v>41</v>
      </c>
      <c r="C154" s="5" t="s">
        <v>66</v>
      </c>
      <c r="D154" s="5" t="s">
        <v>9</v>
      </c>
      <c r="E154" s="6">
        <v>41871</v>
      </c>
    </row>
    <row r="155" spans="1:5" x14ac:dyDescent="0.35">
      <c r="A155" t="str">
        <f t="shared" si="2"/>
        <v>Z2025-02</v>
      </c>
      <c r="B155" s="5" t="s">
        <v>41</v>
      </c>
      <c r="C155" s="5" t="s">
        <v>67</v>
      </c>
      <c r="D155" s="5" t="s">
        <v>9</v>
      </c>
      <c r="E155" s="6">
        <v>11067</v>
      </c>
    </row>
    <row r="156" spans="1:5" x14ac:dyDescent="0.35">
      <c r="A156" t="str">
        <f t="shared" si="2"/>
        <v>Z2025-03</v>
      </c>
      <c r="B156" s="5" t="s">
        <v>41</v>
      </c>
      <c r="C156" s="5" t="s">
        <v>88</v>
      </c>
      <c r="D156" s="5" t="s">
        <v>9</v>
      </c>
      <c r="E156" s="6">
        <v>6830</v>
      </c>
    </row>
    <row r="157" spans="1:5" x14ac:dyDescent="0.35">
      <c r="A157" t="str">
        <f t="shared" si="2"/>
        <v>Z2025-04</v>
      </c>
      <c r="B157" s="5" t="s">
        <v>41</v>
      </c>
      <c r="C157" s="5" t="s">
        <v>68</v>
      </c>
      <c r="D157" s="5" t="s">
        <v>9</v>
      </c>
      <c r="E157" s="6">
        <v>40235</v>
      </c>
    </row>
    <row r="158" spans="1:5" x14ac:dyDescent="0.35">
      <c r="A158" t="str">
        <f t="shared" si="2"/>
        <v>Z2025-05</v>
      </c>
      <c r="B158" s="5" t="s">
        <v>41</v>
      </c>
      <c r="C158" s="5" t="s">
        <v>69</v>
      </c>
      <c r="D158" s="5" t="s">
        <v>9</v>
      </c>
      <c r="E158" s="6">
        <v>35425</v>
      </c>
    </row>
    <row r="159" spans="1:5" x14ac:dyDescent="0.35">
      <c r="A159" t="str">
        <f t="shared" si="2"/>
        <v>AA2024-12</v>
      </c>
      <c r="B159" s="5" t="s">
        <v>42</v>
      </c>
      <c r="C159" s="5" t="s">
        <v>6</v>
      </c>
      <c r="D159" s="5" t="s">
        <v>9</v>
      </c>
      <c r="E159" s="6">
        <v>28969</v>
      </c>
    </row>
    <row r="160" spans="1:5" x14ac:dyDescent="0.35">
      <c r="A160" t="str">
        <f t="shared" si="2"/>
        <v>AA2025-01</v>
      </c>
      <c r="B160" s="5" t="s">
        <v>42</v>
      </c>
      <c r="C160" s="5" t="s">
        <v>66</v>
      </c>
      <c r="D160" s="5" t="s">
        <v>9</v>
      </c>
      <c r="E160" s="6">
        <v>2386</v>
      </c>
    </row>
    <row r="161" spans="1:5" x14ac:dyDescent="0.35">
      <c r="A161" t="str">
        <f t="shared" si="2"/>
        <v>AA2025-02</v>
      </c>
      <c r="B161" s="5" t="s">
        <v>42</v>
      </c>
      <c r="C161" s="5" t="s">
        <v>67</v>
      </c>
      <c r="D161" s="5" t="s">
        <v>8</v>
      </c>
      <c r="E161" s="6">
        <v>40838</v>
      </c>
    </row>
    <row r="162" spans="1:5" x14ac:dyDescent="0.35">
      <c r="A162" t="str">
        <f t="shared" si="2"/>
        <v>AA2025-03</v>
      </c>
      <c r="B162" s="5" t="s">
        <v>42</v>
      </c>
      <c r="C162" s="5" t="s">
        <v>88</v>
      </c>
      <c r="D162" s="5" t="s">
        <v>9</v>
      </c>
      <c r="E162" s="6">
        <v>8978</v>
      </c>
    </row>
    <row r="163" spans="1:5" x14ac:dyDescent="0.35">
      <c r="A163" t="str">
        <f t="shared" si="2"/>
        <v>AA2025-04</v>
      </c>
      <c r="B163" s="5" t="s">
        <v>42</v>
      </c>
      <c r="C163" s="5" t="s">
        <v>68</v>
      </c>
      <c r="D163" s="5" t="s">
        <v>9</v>
      </c>
      <c r="E163" s="6">
        <v>27839</v>
      </c>
    </row>
    <row r="164" spans="1:5" x14ac:dyDescent="0.35">
      <c r="A164" t="str">
        <f t="shared" si="2"/>
        <v>AA2025-05</v>
      </c>
      <c r="B164" s="5" t="s">
        <v>42</v>
      </c>
      <c r="C164" s="5" t="s">
        <v>69</v>
      </c>
      <c r="D164" s="5" t="s">
        <v>9</v>
      </c>
      <c r="E164" s="6">
        <v>39248</v>
      </c>
    </row>
    <row r="165" spans="1:5" x14ac:dyDescent="0.35">
      <c r="A165" t="str">
        <f t="shared" si="2"/>
        <v>AB2024-12</v>
      </c>
      <c r="B165" s="5" t="s">
        <v>43</v>
      </c>
      <c r="C165" s="5" t="s">
        <v>6</v>
      </c>
      <c r="D165" s="5" t="s">
        <v>8</v>
      </c>
      <c r="E165" s="6">
        <v>23771</v>
      </c>
    </row>
    <row r="166" spans="1:5" x14ac:dyDescent="0.35">
      <c r="A166" t="str">
        <f t="shared" si="2"/>
        <v>AB2025-01</v>
      </c>
      <c r="B166" s="5" t="s">
        <v>43</v>
      </c>
      <c r="C166" s="5" t="s">
        <v>66</v>
      </c>
      <c r="D166" s="5" t="s">
        <v>8</v>
      </c>
      <c r="E166" s="6">
        <v>34600</v>
      </c>
    </row>
    <row r="167" spans="1:5" x14ac:dyDescent="0.35">
      <c r="A167" t="str">
        <f t="shared" si="2"/>
        <v>AB2025-02</v>
      </c>
      <c r="B167" s="5" t="s">
        <v>43</v>
      </c>
      <c r="C167" s="5" t="s">
        <v>67</v>
      </c>
      <c r="D167" s="5" t="s">
        <v>9</v>
      </c>
      <c r="E167" s="6">
        <v>22016</v>
      </c>
    </row>
    <row r="168" spans="1:5" x14ac:dyDescent="0.35">
      <c r="A168" t="str">
        <f t="shared" si="2"/>
        <v>AB2025-03</v>
      </c>
      <c r="B168" s="5" t="s">
        <v>43</v>
      </c>
      <c r="C168" s="5" t="s">
        <v>88</v>
      </c>
      <c r="D168" s="5" t="s">
        <v>9</v>
      </c>
      <c r="E168" s="6">
        <v>8422</v>
      </c>
    </row>
    <row r="169" spans="1:5" x14ac:dyDescent="0.35">
      <c r="A169" t="str">
        <f t="shared" si="2"/>
        <v>AB2025-04</v>
      </c>
      <c r="B169" s="5" t="s">
        <v>43</v>
      </c>
      <c r="C169" s="5" t="s">
        <v>68</v>
      </c>
      <c r="D169" s="5" t="s">
        <v>9</v>
      </c>
      <c r="E169" s="6">
        <v>30851</v>
      </c>
    </row>
    <row r="170" spans="1:5" x14ac:dyDescent="0.35">
      <c r="A170" t="str">
        <f t="shared" si="2"/>
        <v>AB2025-05</v>
      </c>
      <c r="B170" s="5" t="s">
        <v>43</v>
      </c>
      <c r="C170" s="5" t="s">
        <v>69</v>
      </c>
      <c r="D170" s="5" t="s">
        <v>8</v>
      </c>
      <c r="E170" s="6">
        <v>10593</v>
      </c>
    </row>
    <row r="171" spans="1:5" x14ac:dyDescent="0.35">
      <c r="A171" t="str">
        <f t="shared" si="2"/>
        <v>AC2024-12</v>
      </c>
      <c r="B171" s="5" t="s">
        <v>44</v>
      </c>
      <c r="C171" s="5" t="s">
        <v>6</v>
      </c>
      <c r="D171" s="5" t="s">
        <v>9</v>
      </c>
      <c r="E171" s="6">
        <v>39501</v>
      </c>
    </row>
    <row r="172" spans="1:5" x14ac:dyDescent="0.35">
      <c r="A172" t="str">
        <f t="shared" si="2"/>
        <v>AC2025-01</v>
      </c>
      <c r="B172" s="5" t="s">
        <v>44</v>
      </c>
      <c r="C172" s="5" t="s">
        <v>66</v>
      </c>
      <c r="D172" s="5" t="s">
        <v>9</v>
      </c>
      <c r="E172" s="6">
        <v>34417</v>
      </c>
    </row>
    <row r="173" spans="1:5" x14ac:dyDescent="0.35">
      <c r="A173" t="str">
        <f t="shared" si="2"/>
        <v>AC2025-02</v>
      </c>
      <c r="B173" s="5" t="s">
        <v>44</v>
      </c>
      <c r="C173" s="5" t="s">
        <v>67</v>
      </c>
      <c r="D173" s="5" t="s">
        <v>9</v>
      </c>
      <c r="E173" s="6">
        <v>21078</v>
      </c>
    </row>
    <row r="174" spans="1:5" x14ac:dyDescent="0.35">
      <c r="A174" t="str">
        <f t="shared" si="2"/>
        <v>AC2025-03</v>
      </c>
      <c r="B174" s="5" t="s">
        <v>44</v>
      </c>
      <c r="C174" s="5" t="s">
        <v>88</v>
      </c>
      <c r="D174" s="5" t="s">
        <v>9</v>
      </c>
      <c r="E174" s="6">
        <v>33430</v>
      </c>
    </row>
    <row r="175" spans="1:5" x14ac:dyDescent="0.35">
      <c r="A175" t="str">
        <f t="shared" si="2"/>
        <v>AC2025-04</v>
      </c>
      <c r="B175" s="5" t="s">
        <v>44</v>
      </c>
      <c r="C175" s="5" t="s">
        <v>68</v>
      </c>
      <c r="D175" s="5" t="s">
        <v>9</v>
      </c>
      <c r="E175" s="6">
        <v>43196</v>
      </c>
    </row>
    <row r="176" spans="1:5" x14ac:dyDescent="0.35">
      <c r="A176" t="str">
        <f t="shared" si="2"/>
        <v>AC2025-05</v>
      </c>
      <c r="B176" s="5" t="s">
        <v>44</v>
      </c>
      <c r="C176" s="5" t="s">
        <v>69</v>
      </c>
      <c r="D176" s="5" t="s">
        <v>9</v>
      </c>
      <c r="E176" s="6">
        <v>40074</v>
      </c>
    </row>
    <row r="177" spans="1:5" x14ac:dyDescent="0.35">
      <c r="A177" t="str">
        <f t="shared" si="2"/>
        <v>AD2024-12</v>
      </c>
      <c r="B177" s="5" t="s">
        <v>45</v>
      </c>
      <c r="C177" s="5" t="s">
        <v>6</v>
      </c>
      <c r="D177" s="5" t="s">
        <v>9</v>
      </c>
      <c r="E177" s="6">
        <v>15094</v>
      </c>
    </row>
    <row r="178" spans="1:5" x14ac:dyDescent="0.35">
      <c r="A178" t="str">
        <f t="shared" si="2"/>
        <v>AD2025-01</v>
      </c>
      <c r="B178" s="5" t="s">
        <v>45</v>
      </c>
      <c r="C178" s="5" t="s">
        <v>66</v>
      </c>
      <c r="D178" s="5" t="s">
        <v>9</v>
      </c>
      <c r="E178" s="6">
        <v>18751</v>
      </c>
    </row>
    <row r="179" spans="1:5" x14ac:dyDescent="0.35">
      <c r="A179" t="str">
        <f t="shared" si="2"/>
        <v>AD2025-02</v>
      </c>
      <c r="B179" s="5" t="s">
        <v>45</v>
      </c>
      <c r="C179" s="5" t="s">
        <v>67</v>
      </c>
      <c r="D179" s="5" t="s">
        <v>9</v>
      </c>
      <c r="E179" s="6">
        <v>21586</v>
      </c>
    </row>
    <row r="180" spans="1:5" x14ac:dyDescent="0.35">
      <c r="A180" t="str">
        <f t="shared" si="2"/>
        <v>AD2025-03</v>
      </c>
      <c r="B180" s="5" t="s">
        <v>45</v>
      </c>
      <c r="C180" s="5" t="s">
        <v>88</v>
      </c>
      <c r="D180" s="5" t="s">
        <v>9</v>
      </c>
      <c r="E180" s="6">
        <v>48315</v>
      </c>
    </row>
    <row r="181" spans="1:5" x14ac:dyDescent="0.35">
      <c r="A181" t="str">
        <f t="shared" si="2"/>
        <v>AD2025-04</v>
      </c>
      <c r="B181" s="5" t="s">
        <v>45</v>
      </c>
      <c r="C181" s="5" t="s">
        <v>68</v>
      </c>
      <c r="D181" s="5" t="s">
        <v>9</v>
      </c>
      <c r="E181" s="6">
        <v>7391</v>
      </c>
    </row>
    <row r="182" spans="1:5" x14ac:dyDescent="0.35">
      <c r="A182" t="str">
        <f t="shared" si="2"/>
        <v>AD2025-05</v>
      </c>
      <c r="B182" s="5" t="s">
        <v>45</v>
      </c>
      <c r="C182" s="5" t="s">
        <v>69</v>
      </c>
      <c r="D182" s="5" t="s">
        <v>9</v>
      </c>
      <c r="E182" s="6">
        <v>40885</v>
      </c>
    </row>
    <row r="183" spans="1:5" x14ac:dyDescent="0.35">
      <c r="A183" t="str">
        <f t="shared" si="2"/>
        <v>AE2024-12</v>
      </c>
      <c r="B183" s="5" t="s">
        <v>46</v>
      </c>
      <c r="C183" s="5" t="s">
        <v>6</v>
      </c>
      <c r="D183" s="5" t="s">
        <v>9</v>
      </c>
      <c r="E183" s="6">
        <v>31309</v>
      </c>
    </row>
    <row r="184" spans="1:5" x14ac:dyDescent="0.35">
      <c r="A184" t="str">
        <f t="shared" si="2"/>
        <v>AE2025-01</v>
      </c>
      <c r="B184" s="5" t="s">
        <v>46</v>
      </c>
      <c r="C184" s="5" t="s">
        <v>66</v>
      </c>
      <c r="D184" s="5" t="s">
        <v>9</v>
      </c>
      <c r="E184" s="6">
        <v>45790</v>
      </c>
    </row>
    <row r="185" spans="1:5" x14ac:dyDescent="0.35">
      <c r="A185" t="str">
        <f t="shared" si="2"/>
        <v>AE2025-02</v>
      </c>
      <c r="B185" s="5" t="s">
        <v>46</v>
      </c>
      <c r="C185" s="5" t="s">
        <v>67</v>
      </c>
      <c r="D185" s="5" t="s">
        <v>9</v>
      </c>
      <c r="E185" s="6">
        <v>21228</v>
      </c>
    </row>
    <row r="186" spans="1:5" x14ac:dyDescent="0.35">
      <c r="A186" t="str">
        <f t="shared" si="2"/>
        <v>AE2025-03</v>
      </c>
      <c r="B186" s="5" t="s">
        <v>46</v>
      </c>
      <c r="C186" s="5" t="s">
        <v>88</v>
      </c>
      <c r="D186" s="5" t="s">
        <v>9</v>
      </c>
      <c r="E186" s="6">
        <v>26281</v>
      </c>
    </row>
    <row r="187" spans="1:5" x14ac:dyDescent="0.35">
      <c r="A187" t="str">
        <f t="shared" si="2"/>
        <v>AE2025-04</v>
      </c>
      <c r="B187" s="5" t="s">
        <v>46</v>
      </c>
      <c r="C187" s="5" t="s">
        <v>68</v>
      </c>
      <c r="D187" s="5" t="s">
        <v>9</v>
      </c>
      <c r="E187" s="6">
        <v>48670</v>
      </c>
    </row>
    <row r="188" spans="1:5" x14ac:dyDescent="0.35">
      <c r="A188" t="str">
        <f t="shared" si="2"/>
        <v>AE2025-05</v>
      </c>
      <c r="B188" s="5" t="s">
        <v>46</v>
      </c>
      <c r="C188" s="5" t="s">
        <v>69</v>
      </c>
      <c r="D188" s="5" t="s">
        <v>9</v>
      </c>
      <c r="E188" s="6">
        <v>9641</v>
      </c>
    </row>
    <row r="189" spans="1:5" x14ac:dyDescent="0.35">
      <c r="A189" t="str">
        <f t="shared" si="2"/>
        <v>AF2024-12</v>
      </c>
      <c r="B189" s="5" t="s">
        <v>47</v>
      </c>
      <c r="C189" s="5" t="s">
        <v>6</v>
      </c>
      <c r="D189" s="5" t="s">
        <v>9</v>
      </c>
      <c r="E189" s="6">
        <v>41093</v>
      </c>
    </row>
    <row r="190" spans="1:5" x14ac:dyDescent="0.35">
      <c r="A190" t="str">
        <f t="shared" si="2"/>
        <v>AF2025-01</v>
      </c>
      <c r="B190" s="5" t="s">
        <v>47</v>
      </c>
      <c r="C190" s="5" t="s">
        <v>66</v>
      </c>
      <c r="D190" s="5" t="s">
        <v>9</v>
      </c>
      <c r="E190" s="6">
        <v>33173</v>
      </c>
    </row>
    <row r="191" spans="1:5" x14ac:dyDescent="0.35">
      <c r="A191" t="str">
        <f t="shared" si="2"/>
        <v>AF2025-02</v>
      </c>
      <c r="B191" s="5" t="s">
        <v>47</v>
      </c>
      <c r="C191" s="5" t="s">
        <v>67</v>
      </c>
      <c r="D191" s="5" t="s">
        <v>8</v>
      </c>
      <c r="E191" s="6">
        <v>18640</v>
      </c>
    </row>
    <row r="192" spans="1:5" x14ac:dyDescent="0.35">
      <c r="A192" t="str">
        <f t="shared" si="2"/>
        <v>AF2025-03</v>
      </c>
      <c r="B192" s="5" t="s">
        <v>47</v>
      </c>
      <c r="C192" s="5" t="s">
        <v>88</v>
      </c>
      <c r="D192" s="5" t="s">
        <v>9</v>
      </c>
      <c r="E192" s="6">
        <v>48010</v>
      </c>
    </row>
    <row r="193" spans="1:5" x14ac:dyDescent="0.35">
      <c r="A193" t="str">
        <f t="shared" si="2"/>
        <v>AF2025-04</v>
      </c>
      <c r="B193" s="5" t="s">
        <v>47</v>
      </c>
      <c r="C193" s="5" t="s">
        <v>68</v>
      </c>
      <c r="D193" s="5" t="s">
        <v>9</v>
      </c>
      <c r="E193" s="6">
        <v>29485</v>
      </c>
    </row>
    <row r="194" spans="1:5" x14ac:dyDescent="0.35">
      <c r="A194" t="str">
        <f t="shared" si="2"/>
        <v>AF2025-05</v>
      </c>
      <c r="B194" s="5" t="s">
        <v>47</v>
      </c>
      <c r="C194" s="5" t="s">
        <v>69</v>
      </c>
      <c r="D194" s="5" t="s">
        <v>9</v>
      </c>
      <c r="E194" s="6">
        <v>34752</v>
      </c>
    </row>
    <row r="195" spans="1:5" x14ac:dyDescent="0.35">
      <c r="A195" t="str">
        <f t="shared" si="2"/>
        <v>AG2024-12</v>
      </c>
      <c r="B195" s="5" t="s">
        <v>48</v>
      </c>
      <c r="C195" s="5" t="s">
        <v>6</v>
      </c>
      <c r="D195" s="5" t="s">
        <v>9</v>
      </c>
      <c r="E195" s="6">
        <v>40656</v>
      </c>
    </row>
    <row r="196" spans="1:5" x14ac:dyDescent="0.35">
      <c r="A196" t="str">
        <f t="shared" ref="A196:A259" si="3">CONCATENATE(B196,C196)</f>
        <v>AG2025-01</v>
      </c>
      <c r="B196" s="5" t="s">
        <v>48</v>
      </c>
      <c r="C196" s="5" t="s">
        <v>66</v>
      </c>
      <c r="D196" s="5" t="s">
        <v>9</v>
      </c>
      <c r="E196" s="6">
        <v>24304</v>
      </c>
    </row>
    <row r="197" spans="1:5" x14ac:dyDescent="0.35">
      <c r="A197" t="str">
        <f t="shared" si="3"/>
        <v>AG2025-02</v>
      </c>
      <c r="B197" s="5" t="s">
        <v>48</v>
      </c>
      <c r="C197" s="5" t="s">
        <v>67</v>
      </c>
      <c r="D197" s="5" t="s">
        <v>9</v>
      </c>
      <c r="E197" s="6">
        <v>37193</v>
      </c>
    </row>
    <row r="198" spans="1:5" x14ac:dyDescent="0.35">
      <c r="A198" t="str">
        <f t="shared" si="3"/>
        <v>AG2025-03</v>
      </c>
      <c r="B198" s="5" t="s">
        <v>48</v>
      </c>
      <c r="C198" s="5" t="s">
        <v>88</v>
      </c>
      <c r="D198" s="5" t="s">
        <v>9</v>
      </c>
      <c r="E198" s="6">
        <v>21609</v>
      </c>
    </row>
    <row r="199" spans="1:5" x14ac:dyDescent="0.35">
      <c r="A199" t="str">
        <f t="shared" si="3"/>
        <v>AG2025-04</v>
      </c>
      <c r="B199" s="5" t="s">
        <v>48</v>
      </c>
      <c r="C199" s="5" t="s">
        <v>68</v>
      </c>
      <c r="D199" s="5" t="s">
        <v>9</v>
      </c>
      <c r="E199" s="6">
        <v>43085</v>
      </c>
    </row>
    <row r="200" spans="1:5" x14ac:dyDescent="0.35">
      <c r="A200" t="str">
        <f t="shared" si="3"/>
        <v>AG2025-05</v>
      </c>
      <c r="B200" s="5" t="s">
        <v>48</v>
      </c>
      <c r="C200" s="5" t="s">
        <v>69</v>
      </c>
      <c r="D200" s="5" t="s">
        <v>9</v>
      </c>
      <c r="E200" s="6">
        <v>11558</v>
      </c>
    </row>
    <row r="201" spans="1:5" x14ac:dyDescent="0.35">
      <c r="A201" t="str">
        <f t="shared" si="3"/>
        <v>AH2024-12</v>
      </c>
      <c r="B201" s="5" t="s">
        <v>49</v>
      </c>
      <c r="C201" s="5" t="s">
        <v>6</v>
      </c>
      <c r="D201" s="5" t="s">
        <v>9</v>
      </c>
      <c r="E201" s="6">
        <v>16766</v>
      </c>
    </row>
    <row r="202" spans="1:5" x14ac:dyDescent="0.35">
      <c r="A202" t="str">
        <f t="shared" si="3"/>
        <v>AH2025-01</v>
      </c>
      <c r="B202" s="5" t="s">
        <v>49</v>
      </c>
      <c r="C202" s="5" t="s">
        <v>66</v>
      </c>
      <c r="D202" s="5" t="s">
        <v>9</v>
      </c>
      <c r="E202" s="6">
        <v>23489</v>
      </c>
    </row>
    <row r="203" spans="1:5" x14ac:dyDescent="0.35">
      <c r="A203" t="str">
        <f t="shared" si="3"/>
        <v>AH2025-02</v>
      </c>
      <c r="B203" s="5" t="s">
        <v>49</v>
      </c>
      <c r="C203" s="5" t="s">
        <v>67</v>
      </c>
      <c r="D203" s="5" t="s">
        <v>8</v>
      </c>
      <c r="E203" s="6">
        <v>39691</v>
      </c>
    </row>
    <row r="204" spans="1:5" x14ac:dyDescent="0.35">
      <c r="A204" t="str">
        <f t="shared" si="3"/>
        <v>AH2025-03</v>
      </c>
      <c r="B204" s="5" t="s">
        <v>49</v>
      </c>
      <c r="C204" s="5" t="s">
        <v>88</v>
      </c>
      <c r="D204" s="5" t="s">
        <v>9</v>
      </c>
      <c r="E204" s="6">
        <v>31187</v>
      </c>
    </row>
    <row r="205" spans="1:5" x14ac:dyDescent="0.35">
      <c r="A205" t="str">
        <f t="shared" si="3"/>
        <v>AH2025-04</v>
      </c>
      <c r="B205" s="5" t="s">
        <v>49</v>
      </c>
      <c r="C205" s="5" t="s">
        <v>68</v>
      </c>
      <c r="D205" s="5" t="s">
        <v>9</v>
      </c>
      <c r="E205" s="6">
        <v>48779</v>
      </c>
    </row>
    <row r="206" spans="1:5" x14ac:dyDescent="0.35">
      <c r="A206" t="str">
        <f t="shared" si="3"/>
        <v>AH2025-05</v>
      </c>
      <c r="B206" s="5" t="s">
        <v>49</v>
      </c>
      <c r="C206" s="5" t="s">
        <v>69</v>
      </c>
      <c r="D206" s="5" t="s">
        <v>9</v>
      </c>
      <c r="E206" s="6">
        <v>23356</v>
      </c>
    </row>
    <row r="207" spans="1:5" x14ac:dyDescent="0.35">
      <c r="A207" t="str">
        <f t="shared" si="3"/>
        <v>AI2024-12</v>
      </c>
      <c r="B207" s="5" t="s">
        <v>50</v>
      </c>
      <c r="C207" s="5" t="s">
        <v>6</v>
      </c>
      <c r="D207" s="5" t="s">
        <v>9</v>
      </c>
      <c r="E207" s="6">
        <v>44167</v>
      </c>
    </row>
    <row r="208" spans="1:5" x14ac:dyDescent="0.35">
      <c r="A208" t="str">
        <f t="shared" si="3"/>
        <v>AI2025-01</v>
      </c>
      <c r="B208" s="5" t="s">
        <v>50</v>
      </c>
      <c r="C208" s="5" t="s">
        <v>66</v>
      </c>
      <c r="D208" s="5" t="s">
        <v>9</v>
      </c>
      <c r="E208" s="6">
        <v>15485</v>
      </c>
    </row>
    <row r="209" spans="1:5" x14ac:dyDescent="0.35">
      <c r="A209" t="str">
        <f t="shared" si="3"/>
        <v>AI2025-02</v>
      </c>
      <c r="B209" s="5" t="s">
        <v>50</v>
      </c>
      <c r="C209" s="5" t="s">
        <v>67</v>
      </c>
      <c r="D209" s="5" t="s">
        <v>8</v>
      </c>
      <c r="E209" s="6">
        <v>38762</v>
      </c>
    </row>
    <row r="210" spans="1:5" x14ac:dyDescent="0.35">
      <c r="A210" t="str">
        <f t="shared" si="3"/>
        <v>AI2025-03</v>
      </c>
      <c r="B210" s="5" t="s">
        <v>50</v>
      </c>
      <c r="C210" s="5" t="s">
        <v>88</v>
      </c>
      <c r="D210" s="5" t="s">
        <v>9</v>
      </c>
      <c r="E210" s="6">
        <v>16173</v>
      </c>
    </row>
    <row r="211" spans="1:5" x14ac:dyDescent="0.35">
      <c r="A211" t="str">
        <f t="shared" si="3"/>
        <v>AI2025-04</v>
      </c>
      <c r="B211" s="5" t="s">
        <v>50</v>
      </c>
      <c r="C211" s="5" t="s">
        <v>68</v>
      </c>
      <c r="D211" s="5" t="s">
        <v>9</v>
      </c>
      <c r="E211" s="6">
        <v>6759</v>
      </c>
    </row>
    <row r="212" spans="1:5" x14ac:dyDescent="0.35">
      <c r="A212" t="str">
        <f t="shared" si="3"/>
        <v>AI2025-05</v>
      </c>
      <c r="B212" s="5" t="s">
        <v>50</v>
      </c>
      <c r="C212" s="5" t="s">
        <v>69</v>
      </c>
      <c r="D212" s="5" t="s">
        <v>9</v>
      </c>
      <c r="E212" s="6">
        <v>28458</v>
      </c>
    </row>
    <row r="213" spans="1:5" x14ac:dyDescent="0.35">
      <c r="A213" t="str">
        <f t="shared" si="3"/>
        <v>AJ2024-12</v>
      </c>
      <c r="B213" s="5" t="s">
        <v>51</v>
      </c>
      <c r="C213" s="5" t="s">
        <v>6</v>
      </c>
      <c r="D213" s="5" t="s">
        <v>9</v>
      </c>
      <c r="E213" s="6">
        <v>12535</v>
      </c>
    </row>
    <row r="214" spans="1:5" x14ac:dyDescent="0.35">
      <c r="A214" t="str">
        <f t="shared" si="3"/>
        <v>AJ2025-01</v>
      </c>
      <c r="B214" s="5" t="s">
        <v>51</v>
      </c>
      <c r="C214" s="5" t="s">
        <v>66</v>
      </c>
      <c r="D214" s="5" t="s">
        <v>9</v>
      </c>
      <c r="E214" s="6">
        <v>27318</v>
      </c>
    </row>
    <row r="215" spans="1:5" x14ac:dyDescent="0.35">
      <c r="A215" t="str">
        <f t="shared" si="3"/>
        <v>AJ2025-02</v>
      </c>
      <c r="B215" s="5" t="s">
        <v>51</v>
      </c>
      <c r="C215" s="5" t="s">
        <v>67</v>
      </c>
      <c r="D215" s="5" t="s">
        <v>8</v>
      </c>
      <c r="E215" s="6">
        <v>40616</v>
      </c>
    </row>
    <row r="216" spans="1:5" x14ac:dyDescent="0.35">
      <c r="A216" t="str">
        <f t="shared" si="3"/>
        <v>AJ2025-03</v>
      </c>
      <c r="B216" s="5" t="s">
        <v>51</v>
      </c>
      <c r="C216" s="5" t="s">
        <v>88</v>
      </c>
      <c r="D216" s="5" t="s">
        <v>9</v>
      </c>
      <c r="E216" s="6">
        <v>11782</v>
      </c>
    </row>
    <row r="217" spans="1:5" x14ac:dyDescent="0.35">
      <c r="A217" t="str">
        <f t="shared" si="3"/>
        <v>AJ2025-04</v>
      </c>
      <c r="B217" s="5" t="s">
        <v>51</v>
      </c>
      <c r="C217" s="5" t="s">
        <v>68</v>
      </c>
      <c r="D217" s="5" t="s">
        <v>9</v>
      </c>
      <c r="E217" s="6">
        <v>15728</v>
      </c>
    </row>
    <row r="218" spans="1:5" x14ac:dyDescent="0.35">
      <c r="A218" t="str">
        <f t="shared" si="3"/>
        <v>AJ2025-05</v>
      </c>
      <c r="B218" s="5" t="s">
        <v>51</v>
      </c>
      <c r="C218" s="5" t="s">
        <v>69</v>
      </c>
      <c r="D218" s="5" t="s">
        <v>9</v>
      </c>
      <c r="E218" s="6">
        <v>43830</v>
      </c>
    </row>
    <row r="219" spans="1:5" x14ac:dyDescent="0.35">
      <c r="A219" t="str">
        <f t="shared" si="3"/>
        <v>AK2024-12</v>
      </c>
      <c r="B219" s="5" t="s">
        <v>52</v>
      </c>
      <c r="C219" s="5" t="s">
        <v>6</v>
      </c>
      <c r="D219" s="5" t="s">
        <v>9</v>
      </c>
      <c r="E219" s="6">
        <v>34278</v>
      </c>
    </row>
    <row r="220" spans="1:5" x14ac:dyDescent="0.35">
      <c r="A220" t="str">
        <f t="shared" si="3"/>
        <v>AK2025-01</v>
      </c>
      <c r="B220" s="5" t="s">
        <v>52</v>
      </c>
      <c r="C220" s="5" t="s">
        <v>66</v>
      </c>
      <c r="D220" s="5" t="s">
        <v>9</v>
      </c>
      <c r="E220" s="6">
        <v>9274</v>
      </c>
    </row>
    <row r="221" spans="1:5" x14ac:dyDescent="0.35">
      <c r="A221" t="str">
        <f t="shared" si="3"/>
        <v>AK2025-02</v>
      </c>
      <c r="B221" s="5" t="s">
        <v>52</v>
      </c>
      <c r="C221" s="5" t="s">
        <v>67</v>
      </c>
      <c r="D221" s="5" t="s">
        <v>9</v>
      </c>
      <c r="E221" s="6">
        <v>25990</v>
      </c>
    </row>
    <row r="222" spans="1:5" x14ac:dyDescent="0.35">
      <c r="A222" t="str">
        <f t="shared" si="3"/>
        <v>AK2025-03</v>
      </c>
      <c r="B222" s="5" t="s">
        <v>52</v>
      </c>
      <c r="C222" s="5" t="s">
        <v>88</v>
      </c>
      <c r="D222" s="5" t="s">
        <v>8</v>
      </c>
      <c r="E222" s="6">
        <v>22422</v>
      </c>
    </row>
    <row r="223" spans="1:5" x14ac:dyDescent="0.35">
      <c r="A223" t="str">
        <f t="shared" si="3"/>
        <v>AK2025-04</v>
      </c>
      <c r="B223" s="5" t="s">
        <v>52</v>
      </c>
      <c r="C223" s="5" t="s">
        <v>68</v>
      </c>
      <c r="D223" s="5" t="s">
        <v>8</v>
      </c>
      <c r="E223" s="6">
        <v>49124</v>
      </c>
    </row>
    <row r="224" spans="1:5" x14ac:dyDescent="0.35">
      <c r="A224" t="str">
        <f t="shared" si="3"/>
        <v>AK2025-05</v>
      </c>
      <c r="B224" s="5" t="s">
        <v>52</v>
      </c>
      <c r="C224" s="5" t="s">
        <v>69</v>
      </c>
      <c r="D224" s="5" t="s">
        <v>9</v>
      </c>
      <c r="E224" s="6">
        <v>34747</v>
      </c>
    </row>
    <row r="225" spans="1:5" x14ac:dyDescent="0.35">
      <c r="A225" t="str">
        <f t="shared" si="3"/>
        <v>AL2024-12</v>
      </c>
      <c r="B225" s="5" t="s">
        <v>53</v>
      </c>
      <c r="C225" s="5" t="s">
        <v>6</v>
      </c>
      <c r="D225" s="5" t="s">
        <v>9</v>
      </c>
      <c r="E225" s="6">
        <v>37824</v>
      </c>
    </row>
    <row r="226" spans="1:5" x14ac:dyDescent="0.35">
      <c r="A226" t="str">
        <f t="shared" si="3"/>
        <v>AL2025-01</v>
      </c>
      <c r="B226" s="5" t="s">
        <v>53</v>
      </c>
      <c r="C226" s="5" t="s">
        <v>66</v>
      </c>
      <c r="D226" s="5" t="s">
        <v>9</v>
      </c>
      <c r="E226" s="6">
        <v>33725</v>
      </c>
    </row>
    <row r="227" spans="1:5" x14ac:dyDescent="0.35">
      <c r="A227" t="str">
        <f t="shared" si="3"/>
        <v>AL2025-02</v>
      </c>
      <c r="B227" s="5" t="s">
        <v>53</v>
      </c>
      <c r="C227" s="5" t="s">
        <v>67</v>
      </c>
      <c r="D227" s="5" t="s">
        <v>9</v>
      </c>
      <c r="E227" s="6">
        <v>47708</v>
      </c>
    </row>
    <row r="228" spans="1:5" x14ac:dyDescent="0.35">
      <c r="A228" t="str">
        <f t="shared" si="3"/>
        <v>AL2025-03</v>
      </c>
      <c r="B228" s="5" t="s">
        <v>53</v>
      </c>
      <c r="C228" s="5" t="s">
        <v>88</v>
      </c>
      <c r="D228" s="5" t="s">
        <v>9</v>
      </c>
      <c r="E228" s="6">
        <v>41937</v>
      </c>
    </row>
    <row r="229" spans="1:5" x14ac:dyDescent="0.35">
      <c r="A229" t="str">
        <f t="shared" si="3"/>
        <v>AL2025-04</v>
      </c>
      <c r="B229" s="5" t="s">
        <v>53</v>
      </c>
      <c r="C229" s="5" t="s">
        <v>68</v>
      </c>
      <c r="D229" s="5" t="s">
        <v>9</v>
      </c>
      <c r="E229" s="6">
        <v>4864</v>
      </c>
    </row>
    <row r="230" spans="1:5" x14ac:dyDescent="0.35">
      <c r="A230" t="str">
        <f t="shared" si="3"/>
        <v>AL2025-05</v>
      </c>
      <c r="B230" s="5" t="s">
        <v>53</v>
      </c>
      <c r="C230" s="5" t="s">
        <v>69</v>
      </c>
      <c r="D230" s="5" t="s">
        <v>9</v>
      </c>
      <c r="E230" s="6">
        <v>9238</v>
      </c>
    </row>
    <row r="231" spans="1:5" x14ac:dyDescent="0.35">
      <c r="A231" t="str">
        <f t="shared" si="3"/>
        <v>AM2024-12</v>
      </c>
      <c r="B231" s="5" t="s">
        <v>54</v>
      </c>
      <c r="C231" s="5" t="s">
        <v>6</v>
      </c>
      <c r="D231" s="5" t="s">
        <v>9</v>
      </c>
      <c r="E231" s="6">
        <v>44774</v>
      </c>
    </row>
    <row r="232" spans="1:5" x14ac:dyDescent="0.35">
      <c r="A232" t="str">
        <f t="shared" si="3"/>
        <v>AM2025-01</v>
      </c>
      <c r="B232" s="5" t="s">
        <v>54</v>
      </c>
      <c r="C232" s="5" t="s">
        <v>66</v>
      </c>
      <c r="D232" s="5" t="s">
        <v>9</v>
      </c>
      <c r="E232" s="6">
        <v>46815</v>
      </c>
    </row>
    <row r="233" spans="1:5" x14ac:dyDescent="0.35">
      <c r="A233" t="str">
        <f t="shared" si="3"/>
        <v>AM2025-02</v>
      </c>
      <c r="B233" s="5" t="s">
        <v>54</v>
      </c>
      <c r="C233" s="5" t="s">
        <v>67</v>
      </c>
      <c r="D233" s="5" t="s">
        <v>9</v>
      </c>
      <c r="E233" s="6">
        <v>10474</v>
      </c>
    </row>
    <row r="234" spans="1:5" x14ac:dyDescent="0.35">
      <c r="A234" t="str">
        <f t="shared" si="3"/>
        <v>AM2025-03</v>
      </c>
      <c r="B234" s="5" t="s">
        <v>54</v>
      </c>
      <c r="C234" s="5" t="s">
        <v>88</v>
      </c>
      <c r="D234" s="5" t="s">
        <v>9</v>
      </c>
      <c r="E234" s="6">
        <v>11251</v>
      </c>
    </row>
    <row r="235" spans="1:5" x14ac:dyDescent="0.35">
      <c r="A235" t="str">
        <f t="shared" si="3"/>
        <v>AM2025-04</v>
      </c>
      <c r="B235" s="5" t="s">
        <v>54</v>
      </c>
      <c r="C235" s="5" t="s">
        <v>68</v>
      </c>
      <c r="D235" s="5" t="s">
        <v>9</v>
      </c>
      <c r="E235" s="6">
        <v>37443</v>
      </c>
    </row>
    <row r="236" spans="1:5" x14ac:dyDescent="0.35">
      <c r="A236" t="str">
        <f t="shared" si="3"/>
        <v>AM2025-05</v>
      </c>
      <c r="B236" s="5" t="s">
        <v>54</v>
      </c>
      <c r="C236" s="5" t="s">
        <v>69</v>
      </c>
      <c r="D236" s="5" t="s">
        <v>9</v>
      </c>
      <c r="E236" s="6">
        <v>35749</v>
      </c>
    </row>
    <row r="237" spans="1:5" x14ac:dyDescent="0.35">
      <c r="A237" t="str">
        <f t="shared" si="3"/>
        <v>AN2024-12</v>
      </c>
      <c r="B237" s="5" t="s">
        <v>55</v>
      </c>
      <c r="C237" s="5" t="s">
        <v>6</v>
      </c>
      <c r="D237" s="5" t="s">
        <v>9</v>
      </c>
      <c r="E237" s="6">
        <v>40023</v>
      </c>
    </row>
    <row r="238" spans="1:5" x14ac:dyDescent="0.35">
      <c r="A238" t="str">
        <f t="shared" si="3"/>
        <v>AN2025-01</v>
      </c>
      <c r="B238" s="5" t="s">
        <v>55</v>
      </c>
      <c r="C238" s="5" t="s">
        <v>66</v>
      </c>
      <c r="D238" s="5" t="s">
        <v>8</v>
      </c>
      <c r="E238" s="6">
        <v>11144</v>
      </c>
    </row>
    <row r="239" spans="1:5" x14ac:dyDescent="0.35">
      <c r="A239" t="str">
        <f t="shared" si="3"/>
        <v>AN2025-02</v>
      </c>
      <c r="B239" s="5" t="s">
        <v>55</v>
      </c>
      <c r="C239" s="5" t="s">
        <v>67</v>
      </c>
      <c r="D239" s="5" t="s">
        <v>9</v>
      </c>
      <c r="E239" s="6">
        <v>18478</v>
      </c>
    </row>
    <row r="240" spans="1:5" x14ac:dyDescent="0.35">
      <c r="A240" t="str">
        <f t="shared" si="3"/>
        <v>AN2025-03</v>
      </c>
      <c r="B240" s="5" t="s">
        <v>55</v>
      </c>
      <c r="C240" s="5" t="s">
        <v>88</v>
      </c>
      <c r="D240" s="5" t="s">
        <v>9</v>
      </c>
      <c r="E240" s="6">
        <v>2095</v>
      </c>
    </row>
    <row r="241" spans="1:5" x14ac:dyDescent="0.35">
      <c r="A241" t="str">
        <f t="shared" si="3"/>
        <v>AN2025-04</v>
      </c>
      <c r="B241" s="5" t="s">
        <v>55</v>
      </c>
      <c r="C241" s="5" t="s">
        <v>68</v>
      </c>
      <c r="D241" s="5" t="s">
        <v>9</v>
      </c>
      <c r="E241" s="6">
        <v>41794</v>
      </c>
    </row>
    <row r="242" spans="1:5" x14ac:dyDescent="0.35">
      <c r="A242" t="str">
        <f t="shared" si="3"/>
        <v>AN2025-05</v>
      </c>
      <c r="B242" s="5" t="s">
        <v>55</v>
      </c>
      <c r="C242" s="5" t="s">
        <v>69</v>
      </c>
      <c r="D242" s="5" t="s">
        <v>9</v>
      </c>
      <c r="E242" s="6">
        <v>6042</v>
      </c>
    </row>
    <row r="243" spans="1:5" x14ac:dyDescent="0.35">
      <c r="A243" t="str">
        <f t="shared" si="3"/>
        <v>AO2024-12</v>
      </c>
      <c r="B243" s="5" t="s">
        <v>56</v>
      </c>
      <c r="C243" s="5" t="s">
        <v>6</v>
      </c>
      <c r="D243" s="5" t="s">
        <v>9</v>
      </c>
      <c r="E243" s="6">
        <v>49189</v>
      </c>
    </row>
    <row r="244" spans="1:5" x14ac:dyDescent="0.35">
      <c r="A244" t="str">
        <f t="shared" si="3"/>
        <v>AO2025-01</v>
      </c>
      <c r="B244" s="5" t="s">
        <v>56</v>
      </c>
      <c r="C244" s="5" t="s">
        <v>66</v>
      </c>
      <c r="D244" s="5" t="s">
        <v>8</v>
      </c>
      <c r="E244" s="6">
        <v>35723</v>
      </c>
    </row>
    <row r="245" spans="1:5" x14ac:dyDescent="0.35">
      <c r="A245" t="str">
        <f t="shared" si="3"/>
        <v>AO2025-02</v>
      </c>
      <c r="B245" s="5" t="s">
        <v>56</v>
      </c>
      <c r="C245" s="5" t="s">
        <v>67</v>
      </c>
      <c r="D245" s="5" t="s">
        <v>9</v>
      </c>
      <c r="E245" s="6">
        <v>31884</v>
      </c>
    </row>
    <row r="246" spans="1:5" x14ac:dyDescent="0.35">
      <c r="A246" t="str">
        <f t="shared" si="3"/>
        <v>AO2025-03</v>
      </c>
      <c r="B246" s="5" t="s">
        <v>56</v>
      </c>
      <c r="C246" s="5" t="s">
        <v>88</v>
      </c>
      <c r="D246" s="5" t="s">
        <v>8</v>
      </c>
      <c r="E246" s="6">
        <v>39221</v>
      </c>
    </row>
    <row r="247" spans="1:5" x14ac:dyDescent="0.35">
      <c r="A247" t="str">
        <f t="shared" si="3"/>
        <v>AO2025-04</v>
      </c>
      <c r="B247" s="5" t="s">
        <v>56</v>
      </c>
      <c r="C247" s="5" t="s">
        <v>68</v>
      </c>
      <c r="D247" s="5" t="s">
        <v>9</v>
      </c>
      <c r="E247" s="6">
        <v>27176</v>
      </c>
    </row>
    <row r="248" spans="1:5" x14ac:dyDescent="0.35">
      <c r="A248" t="str">
        <f t="shared" si="3"/>
        <v>AO2025-05</v>
      </c>
      <c r="B248" s="5" t="s">
        <v>56</v>
      </c>
      <c r="C248" s="5" t="s">
        <v>69</v>
      </c>
      <c r="D248" s="5" t="s">
        <v>9</v>
      </c>
      <c r="E248" s="6">
        <v>41925</v>
      </c>
    </row>
    <row r="249" spans="1:5" x14ac:dyDescent="0.35">
      <c r="A249" t="str">
        <f t="shared" si="3"/>
        <v>AP2024-12</v>
      </c>
      <c r="B249" s="5" t="s">
        <v>57</v>
      </c>
      <c r="C249" s="5" t="s">
        <v>6</v>
      </c>
      <c r="D249" s="5" t="s">
        <v>9</v>
      </c>
      <c r="E249" s="6">
        <v>12359</v>
      </c>
    </row>
    <row r="250" spans="1:5" x14ac:dyDescent="0.35">
      <c r="A250" t="str">
        <f t="shared" si="3"/>
        <v>AP2025-01</v>
      </c>
      <c r="B250" s="5" t="s">
        <v>57</v>
      </c>
      <c r="C250" s="5" t="s">
        <v>66</v>
      </c>
      <c r="D250" s="5" t="s">
        <v>8</v>
      </c>
      <c r="E250" s="6">
        <v>10846</v>
      </c>
    </row>
    <row r="251" spans="1:5" x14ac:dyDescent="0.35">
      <c r="A251" t="str">
        <f t="shared" si="3"/>
        <v>AP2025-02</v>
      </c>
      <c r="B251" s="5" t="s">
        <v>57</v>
      </c>
      <c r="C251" s="5" t="s">
        <v>67</v>
      </c>
      <c r="D251" s="5" t="s">
        <v>9</v>
      </c>
      <c r="E251" s="6">
        <v>49109</v>
      </c>
    </row>
    <row r="252" spans="1:5" x14ac:dyDescent="0.35">
      <c r="A252" t="str">
        <f t="shared" si="3"/>
        <v>AP2025-03</v>
      </c>
      <c r="B252" s="5" t="s">
        <v>57</v>
      </c>
      <c r="C252" s="5" t="s">
        <v>88</v>
      </c>
      <c r="D252" s="5" t="s">
        <v>9</v>
      </c>
      <c r="E252" s="6">
        <v>14581</v>
      </c>
    </row>
    <row r="253" spans="1:5" x14ac:dyDescent="0.35">
      <c r="A253" t="str">
        <f t="shared" si="3"/>
        <v>AP2025-04</v>
      </c>
      <c r="B253" s="5" t="s">
        <v>57</v>
      </c>
      <c r="C253" s="5" t="s">
        <v>68</v>
      </c>
      <c r="D253" s="5" t="s">
        <v>9</v>
      </c>
      <c r="E253" s="6">
        <v>48615</v>
      </c>
    </row>
    <row r="254" spans="1:5" x14ac:dyDescent="0.35">
      <c r="A254" t="str">
        <f t="shared" si="3"/>
        <v>AP2025-05</v>
      </c>
      <c r="B254" s="5" t="s">
        <v>57</v>
      </c>
      <c r="C254" s="5" t="s">
        <v>69</v>
      </c>
      <c r="D254" s="5" t="s">
        <v>8</v>
      </c>
      <c r="E254" s="6">
        <v>19053</v>
      </c>
    </row>
    <row r="255" spans="1:5" x14ac:dyDescent="0.35">
      <c r="A255" t="str">
        <f t="shared" si="3"/>
        <v>AQ2024-12</v>
      </c>
      <c r="B255" s="5" t="s">
        <v>58</v>
      </c>
      <c r="C255" s="5" t="s">
        <v>6</v>
      </c>
      <c r="D255" s="5" t="s">
        <v>9</v>
      </c>
      <c r="E255" s="6">
        <v>3142</v>
      </c>
    </row>
    <row r="256" spans="1:5" x14ac:dyDescent="0.35">
      <c r="A256" t="str">
        <f t="shared" si="3"/>
        <v>AQ2025-01</v>
      </c>
      <c r="B256" s="5" t="s">
        <v>58</v>
      </c>
      <c r="C256" s="5" t="s">
        <v>66</v>
      </c>
      <c r="D256" s="5" t="s">
        <v>9</v>
      </c>
      <c r="E256" s="6">
        <v>31278</v>
      </c>
    </row>
    <row r="257" spans="1:5" x14ac:dyDescent="0.35">
      <c r="A257" t="str">
        <f t="shared" si="3"/>
        <v>AQ2025-02</v>
      </c>
      <c r="B257" s="5" t="s">
        <v>58</v>
      </c>
      <c r="C257" s="5" t="s">
        <v>67</v>
      </c>
      <c r="D257" s="5" t="s">
        <v>8</v>
      </c>
      <c r="E257" s="6">
        <v>29699</v>
      </c>
    </row>
    <row r="258" spans="1:5" x14ac:dyDescent="0.35">
      <c r="A258" t="str">
        <f t="shared" si="3"/>
        <v>AQ2025-03</v>
      </c>
      <c r="B258" s="5" t="s">
        <v>58</v>
      </c>
      <c r="C258" s="5" t="s">
        <v>88</v>
      </c>
      <c r="D258" s="5" t="s">
        <v>9</v>
      </c>
      <c r="E258" s="6">
        <v>26942</v>
      </c>
    </row>
    <row r="259" spans="1:5" x14ac:dyDescent="0.35">
      <c r="A259" t="str">
        <f t="shared" si="3"/>
        <v>AQ2025-04</v>
      </c>
      <c r="B259" s="5" t="s">
        <v>58</v>
      </c>
      <c r="C259" s="5" t="s">
        <v>68</v>
      </c>
      <c r="D259" s="5" t="s">
        <v>9</v>
      </c>
      <c r="E259" s="6">
        <v>23327</v>
      </c>
    </row>
    <row r="260" spans="1:5" x14ac:dyDescent="0.35">
      <c r="A260" t="str">
        <f t="shared" ref="A260:A302" si="4">CONCATENATE(B260,C260)</f>
        <v>AQ2025-05</v>
      </c>
      <c r="B260" s="5" t="s">
        <v>58</v>
      </c>
      <c r="C260" s="5" t="s">
        <v>69</v>
      </c>
      <c r="D260" s="5" t="s">
        <v>8</v>
      </c>
      <c r="E260" s="6">
        <v>32952</v>
      </c>
    </row>
    <row r="261" spans="1:5" x14ac:dyDescent="0.35">
      <c r="A261" t="str">
        <f t="shared" si="4"/>
        <v>AR2024-12</v>
      </c>
      <c r="B261" s="5" t="s">
        <v>59</v>
      </c>
      <c r="C261" s="5" t="s">
        <v>6</v>
      </c>
      <c r="D261" s="5" t="s">
        <v>9</v>
      </c>
      <c r="E261" s="6">
        <v>23453</v>
      </c>
    </row>
    <row r="262" spans="1:5" x14ac:dyDescent="0.35">
      <c r="A262" t="str">
        <f t="shared" si="4"/>
        <v>AR2025-01</v>
      </c>
      <c r="B262" s="5" t="s">
        <v>59</v>
      </c>
      <c r="C262" s="5" t="s">
        <v>66</v>
      </c>
      <c r="D262" s="5" t="s">
        <v>9</v>
      </c>
      <c r="E262" s="6">
        <v>43994</v>
      </c>
    </row>
    <row r="263" spans="1:5" x14ac:dyDescent="0.35">
      <c r="A263" t="str">
        <f t="shared" si="4"/>
        <v>AR2025-02</v>
      </c>
      <c r="B263" s="5" t="s">
        <v>59</v>
      </c>
      <c r="C263" s="5" t="s">
        <v>67</v>
      </c>
      <c r="D263" s="5" t="s">
        <v>9</v>
      </c>
      <c r="E263" s="6">
        <v>41766</v>
      </c>
    </row>
    <row r="264" spans="1:5" x14ac:dyDescent="0.35">
      <c r="A264" t="str">
        <f t="shared" si="4"/>
        <v>AR2025-03</v>
      </c>
      <c r="B264" s="5" t="s">
        <v>59</v>
      </c>
      <c r="C264" s="5" t="s">
        <v>88</v>
      </c>
      <c r="D264" s="5" t="s">
        <v>8</v>
      </c>
      <c r="E264" s="6">
        <v>21105</v>
      </c>
    </row>
    <row r="265" spans="1:5" x14ac:dyDescent="0.35">
      <c r="A265" t="str">
        <f t="shared" si="4"/>
        <v>AR2025-04</v>
      </c>
      <c r="B265" s="5" t="s">
        <v>59</v>
      </c>
      <c r="C265" s="5" t="s">
        <v>68</v>
      </c>
      <c r="D265" s="5" t="s">
        <v>9</v>
      </c>
      <c r="E265" s="6">
        <v>23131</v>
      </c>
    </row>
    <row r="266" spans="1:5" x14ac:dyDescent="0.35">
      <c r="A266" t="str">
        <f t="shared" si="4"/>
        <v>AR2025-05</v>
      </c>
      <c r="B266" s="5" t="s">
        <v>59</v>
      </c>
      <c r="C266" s="5" t="s">
        <v>69</v>
      </c>
      <c r="D266" s="5" t="s">
        <v>9</v>
      </c>
      <c r="E266" s="6">
        <v>37588</v>
      </c>
    </row>
    <row r="267" spans="1:5" x14ac:dyDescent="0.35">
      <c r="A267" t="str">
        <f t="shared" si="4"/>
        <v>AS2024-12</v>
      </c>
      <c r="B267" s="5" t="s">
        <v>60</v>
      </c>
      <c r="C267" s="5" t="s">
        <v>6</v>
      </c>
      <c r="D267" s="5" t="s">
        <v>9</v>
      </c>
      <c r="E267" s="6">
        <v>8913</v>
      </c>
    </row>
    <row r="268" spans="1:5" x14ac:dyDescent="0.35">
      <c r="A268" t="str">
        <f t="shared" si="4"/>
        <v>AS2025-01</v>
      </c>
      <c r="B268" s="5" t="s">
        <v>60</v>
      </c>
      <c r="C268" s="5" t="s">
        <v>66</v>
      </c>
      <c r="D268" s="5" t="s">
        <v>9</v>
      </c>
      <c r="E268" s="6">
        <v>30440</v>
      </c>
    </row>
    <row r="269" spans="1:5" x14ac:dyDescent="0.35">
      <c r="A269" t="str">
        <f t="shared" si="4"/>
        <v>AS2025-02</v>
      </c>
      <c r="B269" s="5" t="s">
        <v>60</v>
      </c>
      <c r="C269" s="5" t="s">
        <v>67</v>
      </c>
      <c r="D269" s="5" t="s">
        <v>8</v>
      </c>
      <c r="E269" s="6">
        <v>9926</v>
      </c>
    </row>
    <row r="270" spans="1:5" x14ac:dyDescent="0.35">
      <c r="A270" t="str">
        <f t="shared" si="4"/>
        <v>AS2025-03</v>
      </c>
      <c r="B270" s="5" t="s">
        <v>60</v>
      </c>
      <c r="C270" s="5" t="s">
        <v>88</v>
      </c>
      <c r="D270" s="5" t="s">
        <v>9</v>
      </c>
      <c r="E270" s="6">
        <v>5240</v>
      </c>
    </row>
    <row r="271" spans="1:5" x14ac:dyDescent="0.35">
      <c r="A271" t="str">
        <f t="shared" si="4"/>
        <v>AS2025-04</v>
      </c>
      <c r="B271" s="5" t="s">
        <v>60</v>
      </c>
      <c r="C271" s="5" t="s">
        <v>68</v>
      </c>
      <c r="D271" s="5" t="s">
        <v>9</v>
      </c>
      <c r="E271" s="6">
        <v>4200</v>
      </c>
    </row>
    <row r="272" spans="1:5" x14ac:dyDescent="0.35">
      <c r="A272" t="str">
        <f t="shared" si="4"/>
        <v>AS2025-05</v>
      </c>
      <c r="B272" s="5" t="s">
        <v>60</v>
      </c>
      <c r="C272" s="5" t="s">
        <v>69</v>
      </c>
      <c r="D272" s="5" t="s">
        <v>8</v>
      </c>
      <c r="E272" s="6">
        <v>27942</v>
      </c>
    </row>
    <row r="273" spans="1:5" x14ac:dyDescent="0.35">
      <c r="A273" t="str">
        <f t="shared" si="4"/>
        <v>AT2024-12</v>
      </c>
      <c r="B273" s="5" t="s">
        <v>61</v>
      </c>
      <c r="C273" s="5" t="s">
        <v>6</v>
      </c>
      <c r="D273" s="5" t="s">
        <v>8</v>
      </c>
      <c r="E273" s="6">
        <v>37061</v>
      </c>
    </row>
    <row r="274" spans="1:5" x14ac:dyDescent="0.35">
      <c r="A274" t="str">
        <f t="shared" si="4"/>
        <v>AT2025-01</v>
      </c>
      <c r="B274" s="5" t="s">
        <v>61</v>
      </c>
      <c r="C274" s="5" t="s">
        <v>66</v>
      </c>
      <c r="D274" s="5" t="s">
        <v>9</v>
      </c>
      <c r="E274" s="6">
        <v>22830</v>
      </c>
    </row>
    <row r="275" spans="1:5" x14ac:dyDescent="0.35">
      <c r="A275" t="str">
        <f t="shared" si="4"/>
        <v>AT2025-02</v>
      </c>
      <c r="B275" s="5" t="s">
        <v>61</v>
      </c>
      <c r="C275" s="5" t="s">
        <v>67</v>
      </c>
      <c r="D275" s="5" t="s">
        <v>9</v>
      </c>
      <c r="E275" s="6">
        <v>14502</v>
      </c>
    </row>
    <row r="276" spans="1:5" x14ac:dyDescent="0.35">
      <c r="A276" t="str">
        <f t="shared" si="4"/>
        <v>AT2025-03</v>
      </c>
      <c r="B276" s="5" t="s">
        <v>61</v>
      </c>
      <c r="C276" s="5" t="s">
        <v>88</v>
      </c>
      <c r="D276" s="5" t="s">
        <v>9</v>
      </c>
      <c r="E276" s="6">
        <v>18401</v>
      </c>
    </row>
    <row r="277" spans="1:5" x14ac:dyDescent="0.35">
      <c r="A277" t="str">
        <f t="shared" si="4"/>
        <v>AT2025-04</v>
      </c>
      <c r="B277" s="5" t="s">
        <v>61</v>
      </c>
      <c r="C277" s="5" t="s">
        <v>68</v>
      </c>
      <c r="D277" s="5" t="s">
        <v>9</v>
      </c>
      <c r="E277" s="6">
        <v>28430</v>
      </c>
    </row>
    <row r="278" spans="1:5" x14ac:dyDescent="0.35">
      <c r="A278" t="str">
        <f t="shared" si="4"/>
        <v>AT2025-05</v>
      </c>
      <c r="B278" s="5" t="s">
        <v>61</v>
      </c>
      <c r="C278" s="5" t="s">
        <v>69</v>
      </c>
      <c r="D278" s="5" t="s">
        <v>9</v>
      </c>
      <c r="E278" s="6">
        <v>48041</v>
      </c>
    </row>
    <row r="279" spans="1:5" x14ac:dyDescent="0.35">
      <c r="A279" t="str">
        <f t="shared" si="4"/>
        <v>AU2024-12</v>
      </c>
      <c r="B279" s="5" t="s">
        <v>62</v>
      </c>
      <c r="C279" s="5" t="s">
        <v>6</v>
      </c>
      <c r="D279" s="5" t="s">
        <v>9</v>
      </c>
      <c r="E279" s="6">
        <v>17706</v>
      </c>
    </row>
    <row r="280" spans="1:5" x14ac:dyDescent="0.35">
      <c r="A280" t="str">
        <f t="shared" si="4"/>
        <v>AU2025-01</v>
      </c>
      <c r="B280" s="5" t="s">
        <v>62</v>
      </c>
      <c r="C280" s="5" t="s">
        <v>66</v>
      </c>
      <c r="D280" s="5" t="s">
        <v>9</v>
      </c>
      <c r="E280" s="6">
        <v>10860</v>
      </c>
    </row>
    <row r="281" spans="1:5" x14ac:dyDescent="0.35">
      <c r="A281" t="str">
        <f t="shared" si="4"/>
        <v>AU2025-02</v>
      </c>
      <c r="B281" s="5" t="s">
        <v>62</v>
      </c>
      <c r="C281" s="5" t="s">
        <v>67</v>
      </c>
      <c r="D281" s="5" t="s">
        <v>9</v>
      </c>
      <c r="E281" s="6">
        <v>34348</v>
      </c>
    </row>
    <row r="282" spans="1:5" x14ac:dyDescent="0.35">
      <c r="A282" t="str">
        <f t="shared" si="4"/>
        <v>AU2025-03</v>
      </c>
      <c r="B282" s="5" t="s">
        <v>62</v>
      </c>
      <c r="C282" s="5" t="s">
        <v>88</v>
      </c>
      <c r="D282" s="5" t="s">
        <v>9</v>
      </c>
      <c r="E282" s="6">
        <v>7197</v>
      </c>
    </row>
    <row r="283" spans="1:5" x14ac:dyDescent="0.35">
      <c r="A283" t="str">
        <f t="shared" si="4"/>
        <v>AU2025-04</v>
      </c>
      <c r="B283" s="5" t="s">
        <v>62</v>
      </c>
      <c r="C283" s="5" t="s">
        <v>68</v>
      </c>
      <c r="D283" s="5" t="s">
        <v>9</v>
      </c>
      <c r="E283" s="6">
        <v>28447</v>
      </c>
    </row>
    <row r="284" spans="1:5" x14ac:dyDescent="0.35">
      <c r="A284" t="str">
        <f t="shared" si="4"/>
        <v>AU2025-05</v>
      </c>
      <c r="B284" s="5" t="s">
        <v>62</v>
      </c>
      <c r="C284" s="5" t="s">
        <v>69</v>
      </c>
      <c r="D284" s="5" t="s">
        <v>9</v>
      </c>
      <c r="E284" s="6">
        <v>8571</v>
      </c>
    </row>
    <row r="285" spans="1:5" x14ac:dyDescent="0.35">
      <c r="A285" t="str">
        <f t="shared" si="4"/>
        <v>AV2024-12</v>
      </c>
      <c r="B285" s="5" t="s">
        <v>63</v>
      </c>
      <c r="C285" s="5" t="s">
        <v>6</v>
      </c>
      <c r="D285" s="5" t="s">
        <v>9</v>
      </c>
      <c r="E285" s="6">
        <v>21985</v>
      </c>
    </row>
    <row r="286" spans="1:5" x14ac:dyDescent="0.35">
      <c r="A286" t="str">
        <f t="shared" si="4"/>
        <v>AV2025-01</v>
      </c>
      <c r="B286" s="5" t="s">
        <v>63</v>
      </c>
      <c r="C286" s="5" t="s">
        <v>66</v>
      </c>
      <c r="D286" s="5" t="s">
        <v>9</v>
      </c>
      <c r="E286" s="6">
        <v>25487</v>
      </c>
    </row>
    <row r="287" spans="1:5" x14ac:dyDescent="0.35">
      <c r="A287" t="str">
        <f t="shared" si="4"/>
        <v>AV2025-02</v>
      </c>
      <c r="B287" s="5" t="s">
        <v>63</v>
      </c>
      <c r="C287" s="5" t="s">
        <v>67</v>
      </c>
      <c r="D287" s="5" t="s">
        <v>9</v>
      </c>
      <c r="E287" s="6">
        <v>8131</v>
      </c>
    </row>
    <row r="288" spans="1:5" x14ac:dyDescent="0.35">
      <c r="A288" t="str">
        <f t="shared" si="4"/>
        <v>AV2025-03</v>
      </c>
      <c r="B288" s="5" t="s">
        <v>63</v>
      </c>
      <c r="C288" s="5" t="s">
        <v>88</v>
      </c>
      <c r="D288" s="5" t="s">
        <v>9</v>
      </c>
      <c r="E288" s="6">
        <v>17900</v>
      </c>
    </row>
    <row r="289" spans="1:5" x14ac:dyDescent="0.35">
      <c r="A289" t="str">
        <f t="shared" si="4"/>
        <v>AV2025-04</v>
      </c>
      <c r="B289" s="5" t="s">
        <v>63</v>
      </c>
      <c r="C289" s="5" t="s">
        <v>68</v>
      </c>
      <c r="D289" s="5" t="s">
        <v>9</v>
      </c>
      <c r="E289" s="6">
        <v>48114</v>
      </c>
    </row>
    <row r="290" spans="1:5" x14ac:dyDescent="0.35">
      <c r="A290" t="str">
        <f t="shared" si="4"/>
        <v>AV2025-05</v>
      </c>
      <c r="B290" s="5" t="s">
        <v>63</v>
      </c>
      <c r="C290" s="5" t="s">
        <v>69</v>
      </c>
      <c r="D290" s="5" t="s">
        <v>8</v>
      </c>
      <c r="E290" s="6">
        <v>38836</v>
      </c>
    </row>
    <row r="291" spans="1:5" x14ac:dyDescent="0.35">
      <c r="A291" t="str">
        <f t="shared" si="4"/>
        <v>AX2024-12</v>
      </c>
      <c r="B291" s="5" t="s">
        <v>64</v>
      </c>
      <c r="C291" s="5" t="s">
        <v>6</v>
      </c>
      <c r="D291" s="5" t="s">
        <v>9</v>
      </c>
      <c r="E291" s="6">
        <v>3968</v>
      </c>
    </row>
    <row r="292" spans="1:5" x14ac:dyDescent="0.35">
      <c r="A292" t="str">
        <f t="shared" si="4"/>
        <v>AX2025-01</v>
      </c>
      <c r="B292" s="5" t="s">
        <v>64</v>
      </c>
      <c r="C292" s="5" t="s">
        <v>66</v>
      </c>
      <c r="D292" s="5" t="s">
        <v>9</v>
      </c>
      <c r="E292" s="6">
        <v>31885</v>
      </c>
    </row>
    <row r="293" spans="1:5" x14ac:dyDescent="0.35">
      <c r="A293" t="str">
        <f t="shared" si="4"/>
        <v>AX2025-02</v>
      </c>
      <c r="B293" s="5" t="s">
        <v>64</v>
      </c>
      <c r="C293" s="5" t="s">
        <v>67</v>
      </c>
      <c r="D293" s="5" t="s">
        <v>9</v>
      </c>
      <c r="E293" s="6">
        <v>8973</v>
      </c>
    </row>
    <row r="294" spans="1:5" x14ac:dyDescent="0.35">
      <c r="A294" t="str">
        <f t="shared" si="4"/>
        <v>AX2025-03</v>
      </c>
      <c r="B294" s="5" t="s">
        <v>64</v>
      </c>
      <c r="C294" s="5" t="s">
        <v>88</v>
      </c>
      <c r="D294" s="5" t="s">
        <v>9</v>
      </c>
      <c r="E294" s="6">
        <v>28907</v>
      </c>
    </row>
    <row r="295" spans="1:5" x14ac:dyDescent="0.35">
      <c r="A295" t="str">
        <f t="shared" si="4"/>
        <v>AX2025-04</v>
      </c>
      <c r="B295" s="5" t="s">
        <v>64</v>
      </c>
      <c r="C295" s="5" t="s">
        <v>68</v>
      </c>
      <c r="D295" s="5" t="s">
        <v>8</v>
      </c>
      <c r="E295" s="6">
        <v>3946</v>
      </c>
    </row>
    <row r="296" spans="1:5" x14ac:dyDescent="0.35">
      <c r="A296" t="str">
        <f t="shared" si="4"/>
        <v>AX2025-05</v>
      </c>
      <c r="B296" s="5" t="s">
        <v>64</v>
      </c>
      <c r="C296" s="5" t="s">
        <v>69</v>
      </c>
      <c r="D296" s="5" t="s">
        <v>9</v>
      </c>
      <c r="E296" s="6">
        <v>2507</v>
      </c>
    </row>
    <row r="297" spans="1:5" x14ac:dyDescent="0.35">
      <c r="A297" t="str">
        <f t="shared" si="4"/>
        <v>AW2024-12</v>
      </c>
      <c r="B297" s="5" t="s">
        <v>65</v>
      </c>
      <c r="C297" s="5" t="s">
        <v>6</v>
      </c>
      <c r="D297" s="5" t="s">
        <v>9</v>
      </c>
      <c r="E297" s="6">
        <v>35366</v>
      </c>
    </row>
    <row r="298" spans="1:5" x14ac:dyDescent="0.35">
      <c r="A298" t="str">
        <f t="shared" si="4"/>
        <v>AW2025-01</v>
      </c>
      <c r="B298" s="5" t="s">
        <v>65</v>
      </c>
      <c r="C298" s="5" t="s">
        <v>66</v>
      </c>
      <c r="D298" s="5" t="s">
        <v>8</v>
      </c>
      <c r="E298" s="6">
        <v>19951</v>
      </c>
    </row>
    <row r="299" spans="1:5" x14ac:dyDescent="0.35">
      <c r="A299" t="str">
        <f t="shared" si="4"/>
        <v>AW2025-02</v>
      </c>
      <c r="B299" s="5" t="s">
        <v>65</v>
      </c>
      <c r="C299" s="5" t="s">
        <v>67</v>
      </c>
      <c r="D299" s="5" t="s">
        <v>9</v>
      </c>
      <c r="E299" s="6">
        <v>41093</v>
      </c>
    </row>
    <row r="300" spans="1:5" x14ac:dyDescent="0.35">
      <c r="A300" t="str">
        <f t="shared" si="4"/>
        <v>AW2025-03</v>
      </c>
      <c r="B300" s="5" t="s">
        <v>65</v>
      </c>
      <c r="C300" s="5" t="s">
        <v>88</v>
      </c>
      <c r="D300" s="5" t="s">
        <v>9</v>
      </c>
      <c r="E300" s="6">
        <v>11732</v>
      </c>
    </row>
    <row r="301" spans="1:5" x14ac:dyDescent="0.35">
      <c r="A301" t="str">
        <f t="shared" si="4"/>
        <v>AW2025-04</v>
      </c>
      <c r="B301" s="5" t="s">
        <v>65</v>
      </c>
      <c r="C301" s="5" t="s">
        <v>68</v>
      </c>
      <c r="D301" s="5" t="s">
        <v>9</v>
      </c>
      <c r="E301" s="6">
        <v>5887</v>
      </c>
    </row>
    <row r="302" spans="1:5" x14ac:dyDescent="0.35">
      <c r="A302" t="str">
        <f t="shared" si="4"/>
        <v>AW2025-05</v>
      </c>
      <c r="B302" s="5" t="s">
        <v>65</v>
      </c>
      <c r="C302" s="5" t="s">
        <v>69</v>
      </c>
      <c r="D302" s="5" t="s">
        <v>9</v>
      </c>
      <c r="E302" s="6">
        <v>46600</v>
      </c>
    </row>
  </sheetData>
  <phoneticPr fontId="3" type="noConversion"/>
  <pageMargins left="0.7" right="0.7" top="0.75" bottom="0.75" header="0.3" footer="0.3"/>
  <headerFooter>
    <oddFooter>&amp;L_x000D_&amp;1#&amp;"Calibri"&amp;7&amp;K000000 ***Este documento está clasificado como USO INTERNO por TELEFÓNICA.
***This document is classified as INTERNAL USE by TELEFÓNICA.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1F3E31-37E9-4203-937A-AFEEAD0F95AF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f27cb1b6-4159-4a38-a94b-cbd1c10c7376}" enabled="1" method="Privilege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 Total</vt:lpstr>
      <vt:lpstr>Análises</vt:lpstr>
      <vt:lpstr>CLIENTES</vt:lpstr>
      <vt:lpstr>FATURAMENTO </vt:lpstr>
      <vt:lpstr>CHURN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Viana Da Silva Bezerra</dc:creator>
  <cp:lastModifiedBy>Karen Correia Da Silva Matos</cp:lastModifiedBy>
  <dcterms:created xsi:type="dcterms:W3CDTF">2025-02-20T21:01:15Z</dcterms:created>
  <dcterms:modified xsi:type="dcterms:W3CDTF">2025-12-26T00:44:57Z</dcterms:modified>
</cp:coreProperties>
</file>